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slicers/slicer1.xml" ContentType="application/vnd.ms-excel.slicer+xml"/>
  <Override PartName="/xl/timelines/timeline1.xml" ContentType="application/vnd.ms-excel.timelin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 codeName="{DD97A8EA-9A9A-E61F-A557-7D5A7D7259CE}"/>
  <workbookPr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D:\SynologyDrive\Документы в облаке\Автогенератор\Репозиторий\25.12.16\"/>
    </mc:Choice>
  </mc:AlternateContent>
  <xr:revisionPtr revIDLastSave="0" documentId="13_ncr:1_{88C37BDD-3D68-4CC0-B496-4BEACCC9A038}" xr6:coauthVersionLast="47" xr6:coauthVersionMax="47" xr10:uidLastSave="{00000000-0000-0000-0000-000000000000}"/>
  <bookViews>
    <workbookView xWindow="-110" yWindow="-110" windowWidth="25820" windowHeight="13900" tabRatio="836" xr2:uid="{00000000-000D-0000-FFFF-FFFF00000000}"/>
  </bookViews>
  <sheets>
    <sheet name="Настройки" sheetId="8" r:id="rId1"/>
    <sheet name="Обложка" sheetId="17" r:id="rId2"/>
    <sheet name="Титульный лист" sheetId="10" r:id="rId3"/>
    <sheet name="Раздел 1" sheetId="11" r:id="rId4"/>
    <sheet name="Раздел 2" sheetId="12" r:id="rId5"/>
    <sheet name="Раздел 3" sheetId="2" r:id="rId6"/>
    <sheet name="Раздел 3 разбивка" sheetId="19" r:id="rId7"/>
    <sheet name="Раздел 4" sheetId="14" r:id="rId8"/>
    <sheet name="Раздел 5" sheetId="4" r:id="rId9"/>
    <sheet name="Раздел 6" sheetId="16" r:id="rId10"/>
    <sheet name="ярлык" sheetId="18" r:id="rId11"/>
    <sheet name="Параметры" sheetId="6" state="hidden" r:id="rId12"/>
  </sheets>
  <definedNames>
    <definedName name="ExternalData_1" localSheetId="11" hidden="1">Параметры!$E$3:$E$7</definedName>
    <definedName name="ExternalData_1" localSheetId="5" hidden="1">'Раздел 3'!$A$4:$E$19</definedName>
    <definedName name="ExternalData_1" localSheetId="8" hidden="1">'Раздел 5'!$A$5:$C$17</definedName>
    <definedName name="ВстроеннаяВременнаяШкала_Даты_работ">#N/A</definedName>
    <definedName name="_xlnm.Print_Titles" localSheetId="3">'Раздел 1'!$3:$4</definedName>
    <definedName name="_xlnm.Print_Titles" localSheetId="4">'Раздел 2'!$3:$4</definedName>
    <definedName name="_xlnm.Print_Titles" localSheetId="5">'Раздел 3'!$3:$4</definedName>
    <definedName name="_xlnm.Print_Titles" localSheetId="6">'Раздел 3 разбивка'!$1:$1</definedName>
    <definedName name="_xlnm.Print_Titles" localSheetId="7">'Раздел 4'!$3:$4</definedName>
    <definedName name="_xlnm.Print_Titles" localSheetId="8">'Раздел 5'!$4:$5</definedName>
    <definedName name="_xlnm.Print_Titles" localSheetId="9">'Раздел 6'!$3:$4</definedName>
    <definedName name="_xlnm.Print_Titles" localSheetId="10">ярлык!#REF!</definedName>
    <definedName name="НАСТР_показ_мат">Настройки!$E$13</definedName>
    <definedName name="НАСТР_разд3_разд_мат">Настройки!$E$15</definedName>
    <definedName name="НАСТР_разд3_разд_работ">Настройки!$E$14</definedName>
    <definedName name="НАСТР_разд6_разд_дата_подп">Настройки!$E$21</definedName>
    <definedName name="НАСТР_разд6_разд_назв_ном">Настройки!$E$19</definedName>
    <definedName name="НАСТР_разд6_разд_ном_раб">Настройки!$E$20</definedName>
    <definedName name="НАСТР_разд6_разд_подп_подп">Настройки!$E$22</definedName>
    <definedName name="_xlnm.Print_Area" localSheetId="1">Обложка!$A$1:$I$55</definedName>
    <definedName name="_xlnm.Print_Area" localSheetId="3">'Раздел 1'!$A$1:$F$40</definedName>
    <definedName name="_xlnm.Print_Area" localSheetId="7">'Раздел 4'!$A$1:$G$94</definedName>
    <definedName name="_xlnm.Print_Area" localSheetId="9">'Раздел 6'!$A$1:$G$28</definedName>
    <definedName name="_xlnm.Print_Area" localSheetId="2">'Титульный лист'!$A$1:$AJ$233</definedName>
    <definedName name="_xlnm.Print_Area" localSheetId="10">ярлык!$A$1:$F$7</definedName>
    <definedName name="откуда_брать">Настройки!$B$6</definedName>
    <definedName name="Срез_Имя_файла">#N/A</definedName>
  </definedNames>
  <calcPr calcId="191029"/>
  <pivotCaches>
    <pivotCache cacheId="6" r:id="rId13"/>
  </pivotCaches>
  <extLst>
    <ext xmlns:x14="http://schemas.microsoft.com/office/spreadsheetml/2009/9/main" uri="{BBE1A952-AA13-448e-AADC-164F8A28A991}">
      <x14:slicerCaches>
        <x14:slicerCache r:id="rId14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5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" i="8" l="1"/>
  <c r="B4" i="6" l="1"/>
  <c r="B9" i="8" s="1" a="1"/>
  <c r="B9" i="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Запрос — concatAJ" description="Соединение с запросом &quot;concatAJ&quot; в книге." type="5" refreshedVersion="0" background="1">
    <dbPr connection="Provider=Microsoft.Mashup.OleDb.1;Data Source=$Workbook$;Location=concatAJ;Extended Properties=&quot;&quot;" command="SELECT * FROM [concatAJ]"/>
  </connection>
  <connection id="2" xr16:uid="{00000000-0015-0000-FFFF-FFFF01000000}" keepAlive="1" name="Запрос — fBeforeDelimiter" description="Соединение с запросом &quot;fBeforeDelimiter&quot; в книге." type="5" refreshedVersion="0" background="1">
    <dbPr connection="Provider=Microsoft.Mashup.OleDb.1;Data Source=$Workbook$;Location=fBeforeDelimiter;Extended Properties=&quot;&quot;" command="SELECT * FROM [fBeforeDelimiter]"/>
  </connection>
  <connection id="3" xr16:uid="{00000000-0015-0000-FFFF-FFFF02000000}" keepAlive="1" name="Запрос — fListDates" description="Соединение с запросом &quot;fListDates&quot; в книге." type="5" refreshedVersion="0" background="1">
    <dbPr connection="Provider=Microsoft.Mashup.OleDb.1;Data Source=$Workbook$;Location=fListDates;Extended Properties=&quot;&quot;" command="SELECT * FROM [fListDates]"/>
  </connection>
  <connection id="4" xr16:uid="{00000000-0015-0000-FFFF-FFFF03000000}" keepAlive="1" name="Запрос — fНомераАктов" description="Соединение с запросом &quot;fНомераАктов&quot; в книге." type="5" refreshedVersion="0" background="1">
    <dbPr connection="Provider=Microsoft.Mashup.OleDb.1;Data Source=$Workbook$;Location=fНомераАктов;Extended Properties=&quot;&quot;" command="SELECT * FROM [fНомераАктов]"/>
  </connection>
  <connection id="5" xr16:uid="{00000000-0015-0000-FFFF-FFFF04000000}" keepAlive="1" name="Запрос — fРаздел3" description="Соединение с запросом &quot;fРаздел3&quot; в книге." type="5" refreshedVersion="0" background="1">
    <dbPr connection="Provider=Microsoft.Mashup.OleDb.1;Data Source=$Workbook$;Location=fРаздел3;Extended Properties=&quot;&quot;" command="SELECT * FROM [fРаздел3]"/>
  </connection>
  <connection id="6" xr16:uid="{00000000-0015-0000-FFFF-FFFF05000000}" keepAlive="1" name="Запрос — fРаздел6" description="Соединение с запросом &quot;fРаздел6&quot; в книге." type="5" refreshedVersion="0" background="1">
    <dbPr connection="Provider=Microsoft.Mashup.OleDb.1;Data Source=$Workbook$;Location=fРаздел6;Extended Properties=&quot;&quot;" command="SELECT * FROM [fРаздел6]"/>
  </connection>
  <connection id="7" xr16:uid="{00000000-0015-0000-FFFF-FFFF06000000}" keepAlive="1" name="Запрос — pWorkBook" description="Соединение с запросом &quot;pWorkBook&quot; в книге." type="5" refreshedVersion="0" background="1">
    <dbPr connection="Provider=Microsoft.Mashup.OleDb.1;Data Source=$Workbook$;Location=pWorkBook;Extended Properties=&quot;&quot;" command="SELECT * FROM [pWorkBook]"/>
  </connection>
  <connection id="8" xr16:uid="{00000000-0015-0000-FFFF-FFFF07000000}" keepAlive="1" name="Запрос — qFileNames" description="Соединение с запросом &quot;qFileNames&quot; в книге." type="5" refreshedVersion="8" refreshOnLoad="1" saveData="1">
    <dbPr connection="Provider=Microsoft.Mashup.OleDb.1;Data Source=$Workbook$;Location=qFileNames;Extended Properties=&quot;&quot;" command="SELECT * FROM [qFileNames]"/>
  </connection>
  <connection id="9" xr16:uid="{00000000-0015-0000-FFFF-FFFF08000000}" keepAlive="1" name="Запрос — qДляОбработки" description="Соединение с запросом &quot;qДляОбработки&quot; в книге." type="5" refreshedVersion="0" background="1">
    <dbPr connection="Provider=Microsoft.Mashup.OleDb.1;Data Source=$Workbook$;Location=qДляОбработки;Extended Properties=&quot;&quot;" command="SELECT * FROM [qДляОбработки]"/>
  </connection>
  <connection id="10" xr16:uid="{00000000-0015-0000-FFFF-FFFF09000000}" keepAlive="1" name="Запрос — qНомераАктов" description="Соединение с запросом &quot;qНомераАктов&quot; в книге." type="5" refreshedVersion="0" background="1">
    <dbPr connection="Provider=Microsoft.Mashup.OleDb.1;Data Source=$Workbook$;Location=qНомераАктов;Extended Properties=&quot;&quot;" command="SELECT * FROM [qНомераАктов]"/>
  </connection>
  <connection id="11" xr16:uid="{00000000-0015-0000-FFFF-FFFF0A000000}" keepAlive="1" name="Запрос — qРаздел3_Итог" description="Соединение с запросом &quot;qРаздел3_Итог&quot; в книге." type="5" refreshedVersion="8" saveData="1">
    <dbPr connection="Provider=Microsoft.Mashup.OleDb.1;Data Source=$Workbook$;Location=qРаздел3_Итог;Extended Properties=&quot;&quot;" command="SELECT * FROM [qРаздел3_Итог]"/>
  </connection>
  <connection id="12" xr16:uid="{00000000-0015-0000-FFFF-FFFF0B000000}" keepAlive="1" name="Запрос — qРаздел3_разбивка" description="Соединение с запросом &quot;qРаздел3_разбивка&quot; в книге." type="5" refreshedVersion="8" background="1">
    <dbPr connection="Provider=Microsoft.Mashup.OleDb.1;Data Source=$Workbook$;Location=qРаздел3_разбивка;Extended Properties=&quot;&quot;" command="SELECT * FROM [qРаздел3_разбивка]"/>
  </connection>
  <connection id="13" xr16:uid="{00000000-0015-0000-FFFF-FFFF0C000000}" keepAlive="1" name="Запрос — qРаздел6_Итог" description="Соединение с запросом &quot;qРаздел6_Итог&quot; в книге." type="5" refreshedVersion="8" background="1" saveData="1">
    <dbPr connection="Provider=Microsoft.Mashup.OleDb.1;Data Source=$Workbook$;Location=qРаздел6_Итог;Extended Properties=&quot;&quot;" command="SELECT * FROM [qРаздел6_Итог]"/>
  </connection>
  <connection id="14" xr16:uid="{00000000-0015-0000-FFFF-FFFF0D000000}" keepAlive="1" name="Запрос — Запрос1" description="Соединение с запросом &quot;Запрос1&quot; в книге." type="5" refreshedVersion="0" background="1">
    <dbPr connection="Provider=Microsoft.Mashup.OleDb.1;Data Source=$Workbook$;Location=Запрос1;Extended Properties=&quot;&quot;" command="SELECT * FROM [Запрос1]"/>
  </connection>
  <connection id="15" xr16:uid="{00000000-0015-0000-FFFF-FFFF0E000000}" keepAlive="1" name="Запрос — НАСТР" description="Соединение с запросом &quot;НАСТР&quot; в книге." type="5" refreshedVersion="0" background="1">
    <dbPr connection="Provider=Microsoft.Mashup.OleDb.1;Data Source=$Workbook$;Location=НАСТР;Extended Properties=&quot;&quot;" command="SELECT * FROM [НАСТР]"/>
  </connection>
  <connection id="16" xr16:uid="{00000000-0015-0000-FFFF-FFFF0F000000}" keepAlive="1" name="Запрос — откуда_брать" description="Соединение с запросом &quot;откуда_брать&quot; в книге." type="5" refreshedVersion="0" background="1">
    <dbPr connection="Provider=Microsoft.Mashup.OleDb.1;Data Source=$Workbook$;Location=откуда_брать;Extended Properties=&quot;&quot;" command="SELECT * FROM [откуда_брать]"/>
  </connection>
  <connection id="17" xr16:uid="{00000000-0015-0000-FFFF-FFFF10000000}" keepAlive="1" name="Запрос — ПримерФайла" description="Соединение с запросом &quot;ПримерФайла&quot; в книге." type="5" refreshedVersion="0" background="1">
    <dbPr connection="Provider=Microsoft.Mashup.OleDb.1;Data Source=$Workbook$;Location=ПримерФайла;Extended Properties=&quot;&quot;" command="SELECT * FROM [ПримерФайла]"/>
  </connection>
  <connection id="18" xr16:uid="{00000000-0015-0000-FFFF-FFFF11000000}" keepAlive="1" name="Запрос — Раздел 3" description="Соединение с запросом &quot;Раздел 3&quot; в книге." type="5" refreshedVersion="0" background="1">
    <dbPr connection="Provider=Microsoft.Mashup.OleDb.1;Data Source=$Workbook$;Location=&quot;Раздел 3&quot;;Extended Properties=&quot;&quot;" command="SELECT * FROM [Раздел 3]"/>
  </connection>
  <connection id="19" xr16:uid="{00000000-0015-0000-FFFF-FFFF12000000}" keepAlive="1" name="Запрос — Раздел 6" description="Соединение с запросом &quot;Раздел 6&quot; в книге." type="5" refreshedVersion="0" background="1">
    <dbPr connection="Provider=Microsoft.Mashup.OleDb.1;Data Source=$Workbook$;Location=&quot;Раздел 6&quot;;Extended Properties=&quot;&quot;" command="SELECT * FROM [Раздел 6]"/>
  </connection>
  <connection id="20" xr16:uid="{00000000-0015-0000-FFFF-FFFF13000000}" keepAlive="1" name="Запрос — тВсеДанныеВАкт" description="Соединение с запросом &quot;тВсеДанныеВАкт&quot; в книге." type="5" refreshedVersion="0" background="1">
    <dbPr connection="Provider=Microsoft.Mashup.OleDb.1;Data Source=$Workbook$;Location=тВсеДанныеВАкт;Extended Properties=&quot;&quot;" command="SELECT * FROM [тВсеДанныеВАкт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<sst xmlns="http://schemas.openxmlformats.org/spreadsheetml/2006/main" count="573" uniqueCount="201">
  <si>
    <t>РАЗДЕЛ 3</t>
  </si>
  <si>
    <t>Сведения о выполнении работ в процессе строительства, 
реконструкции, капитального ремонта объекта капитального строительства</t>
  </si>
  <si>
    <t>Дата
выполнения работ</t>
  </si>
  <si>
    <t>1</t>
  </si>
  <si>
    <t>2</t>
  </si>
  <si>
    <t>3</t>
  </si>
  <si>
    <t>4</t>
  </si>
  <si>
    <t xml:space="preserve">Перечень исполнительной документации при строительстве, </t>
  </si>
  <si>
    <t>реконструкции, капитальном ремонте объекта капитального строительства</t>
  </si>
  <si>
    <t>Наименование исполнительной документации (с указанием вида работ, места расположения конструкций, участков сетей инженерно – технического обеспечения и т.д.)</t>
  </si>
  <si>
    <t>Дата подписания акта, должности, фамилии, инициалы лиц,подписавших акты</t>
  </si>
  <si>
    <t>Param</t>
  </si>
  <si>
    <t>Value</t>
  </si>
  <si>
    <t>Path</t>
  </si>
  <si>
    <t>Общий журнал работ</t>
  </si>
  <si>
    <t>Name</t>
  </si>
  <si>
    <t>все файлы</t>
  </si>
  <si>
    <t>Наименование работ, выполняемых в процессе строительства, реконструкции, капитального ремонта объекта капитального строительства с указанием осей, рядов, отметов, пикетов, этажей, ярусов, секций, помещений, в которых выполнялись работы, сведения о методах выполнения работ, применяемых строительных материалах, изделиях и конструкциях, проведенных испытаниях конструкций, оборудования, систем, сетей и устройств (опробование вхолостую или под нагрузкой, подача электроэнергии, давления, испытания на прочность и герметичность)</t>
  </si>
  <si>
    <t>Условия производства работ</t>
  </si>
  <si>
    <t>Должность (при наличии), фамилия, инициалы, подпись уполномоченного представителя лица, осуществляющего строительство, реконструкцию, капитальный ремонт</t>
  </si>
  <si>
    <t>РАЗДЕЛ 5</t>
  </si>
  <si>
    <t>5</t>
  </si>
  <si>
    <t>Раздел 3</t>
  </si>
  <si>
    <t>да</t>
  </si>
  <si>
    <t>Показывать использованные в работах материалы</t>
  </si>
  <si>
    <t xml:space="preserve">. </t>
  </si>
  <si>
    <t xml:space="preserve">
</t>
  </si>
  <si>
    <t>Разделитель</t>
  </si>
  <si>
    <t>Комментарий</t>
  </si>
  <si>
    <t>Точка</t>
  </si>
  <si>
    <t>Перенос строки</t>
  </si>
  <si>
    <t>Тире</t>
  </si>
  <si>
    <t>Косая черта</t>
  </si>
  <si>
    <t>Жирная черта</t>
  </si>
  <si>
    <t xml:space="preserve"> ▌</t>
  </si>
  <si>
    <t xml:space="preserve"> — </t>
  </si>
  <si>
    <t xml:space="preserve"> / </t>
  </si>
  <si>
    <t>Треугольник</t>
  </si>
  <si>
    <t>Квадрат</t>
  </si>
  <si>
    <t>Круг</t>
  </si>
  <si>
    <t xml:space="preserve"> ●</t>
  </si>
  <si>
    <t xml:space="preserve"> ■</t>
  </si>
  <si>
    <t xml:space="preserve"> ►</t>
  </si>
  <si>
    <t xml:space="preserve">; </t>
  </si>
  <si>
    <t>Точка с запятой</t>
  </si>
  <si>
    <t>Раздел 5</t>
  </si>
  <si>
    <t xml:space="preserve"> </t>
  </si>
  <si>
    <t>Пробел</t>
  </si>
  <si>
    <t>Общий журнал работ, в котором ведется учет выполнения работ</t>
  </si>
  <si>
    <t>по строительству, реконcтрукции, капитальному ремонту</t>
  </si>
  <si>
    <t>объекта капитального строительства</t>
  </si>
  <si>
    <t>№</t>
  </si>
  <si>
    <r>
      <t>по</t>
    </r>
    <r>
      <rPr>
        <b/>
        <sz val="11"/>
        <rFont val="Times New Roman"/>
        <family val="1"/>
        <charset val="204"/>
      </rPr>
      <t xml:space="preserve"> </t>
    </r>
    <r>
      <rPr>
        <sz val="9"/>
        <rFont val="Times New Roman"/>
        <family val="1"/>
        <charset val="204"/>
      </rPr>
      <t/>
    </r>
  </si>
  <si>
    <r>
      <t>( указать строительство, реконструкция, капитальный ремонт)</t>
    </r>
    <r>
      <rPr>
        <b/>
        <sz val="8"/>
        <rFont val="Times New Roman"/>
        <family val="1"/>
        <charset val="204"/>
      </rPr>
      <t xml:space="preserve"> </t>
    </r>
  </si>
  <si>
    <t xml:space="preserve">(наименование объекта капитального строительства, его  почтовый или строительный адрес) </t>
  </si>
  <si>
    <t>Застройщик</t>
  </si>
  <si>
    <t>(фамилия, имя, отчество (последнее - при наличии), адрес места жительства, ОГРНИП, ИНН индивидуального  предпринимателя,</t>
  </si>
  <si>
    <t>полное и (или) сокращенное наименование, ОГРН, ИНН, место нахождения юридического лица, телефон/факс, адрес
электронной почты (при наличии),</t>
  </si>
  <si>
    <t>полное и (или) сокращенное наименование, ОГРН, ИНН саморегулируемой организации, членом которой является указанное юридическое лицо или индивидуальный предприниматель (за исключением случаев, когда членство в саморегулируемых организациях в области инженерных изысканий, архитектурно-строительного проектирования, строительства, реконструкции, капитального ремонта объектов капитального строительства не требуется);</t>
  </si>
  <si>
    <t>фамилия, имя, отчество (последнее - при наличии), паспортные данные, адрес места жительства, телефон/факс, адрес электронной почты (при наличии) - для физических лиц, не являющихся индивидуальными предпринимателями)</t>
  </si>
  <si>
    <t xml:space="preserve">Уполномоченный представитель застройщика </t>
  </si>
  <si>
    <t>№№/ 
пп</t>
  </si>
  <si>
    <t>Фамилия, имя, отчество
 (последнее при наличии)</t>
  </si>
  <si>
    <t>Должность
 (при наличии)</t>
  </si>
  <si>
    <t>Наименование, дата, номер документа, подтверждающего полномочие</t>
  </si>
  <si>
    <t>Идентификационный номер в национальном реестре специалистов в области строительства (за исключением случаев, когда членство в  саморегулируемых организациях в области инженерных изысканий, архитектурно- строительного проектирования, строительства, реконструкции, капитального ремонта объектов капитального строительства не требуется)</t>
  </si>
  <si>
    <t>Подпись</t>
  </si>
  <si>
    <t>6</t>
  </si>
  <si>
    <t>Технический заказчик</t>
  </si>
  <si>
    <t>(полное и (или) сокращенное наименование, ОГРН, ИНН, место нахождения юридического лица, телефон/факс, адрес
электронной почты (при наличии),</t>
  </si>
  <si>
    <t>полное и (или) сокращенное наименование, ОГРН, ИНН саморегулируемой организации, членом которой является указанное юридическое лицо (за исключением случаев, когда членство в саморегулируемых организациях в области инженерных изысканий, архитектурно-строительного проектирования, строительства, реконструкции, капитального ремонта объектов капитального строительства не требуется);</t>
  </si>
  <si>
    <t>Уполномоченный представитель технического заказчика</t>
  </si>
  <si>
    <t>Наименование, дата, номер документа, подтверждаю-щего полномочие</t>
  </si>
  <si>
    <t>Лицо, ответственное за эксплуатацию здания, сооружения, или региональный оператор (заполняется в случае, если договор строительного подряда заключается с лицом, ответственным за эксплуатацию здания, сооружения, или региональным оператором)</t>
  </si>
  <si>
    <t xml:space="preserve">Уполномоченный представитель лица, ответственного за эксплуатацию здания, сооружения, или регионального оператора (заполняется в случае, если договор строительного подряда заключается с лицом, ответственным за эксплуатацию  здания, сооружения, или региональным оператором) </t>
  </si>
  <si>
    <t>Сведения о выданном разрешении на строительство (заполняется в случае, если разрешение на строительство требуется в соответствии со статьей 51 Градостроительного кодекса Российской Федерации (Собрание законодательства Российской Федерации, 2005, № 1, ст. 16; 2022, № 29, ст. 5317)</t>
  </si>
  <si>
    <t>(номер, дата выдачи разрешения на строительство, наименование органа исполнительной власти,</t>
  </si>
  <si>
    <t>государственной корпорации или органа местного самоуправления, выдавших разрешение)</t>
  </si>
  <si>
    <t>Лицо, осуществляющее подготовку проектной документации</t>
  </si>
  <si>
    <t>полное и (или) сокращенное наименование, ОГРН, ИНН саморегулируемой организации, членом которой является указанное юридическое лицо или индивидуальный предприниматель (за исключением случаев, когда членство в саморегулируемых организациях в области инженерных изысканий, архитектурно-строительного проектирования, строительства, реконструкции, капитального ремонта объектов капитального строительства не требуется)</t>
  </si>
  <si>
    <t>Уполномоченный представитель лица, осуществляющего подготовку проектной документации, по вопросам проверки соответствия выполняемых работ проектной документации
 (далее - авторский надзор)</t>
  </si>
  <si>
    <t>№ 
п/п</t>
  </si>
  <si>
    <t>Полное и (или) сокращенное наименование или фамилия, имя, отчество (последнее - при наличии) лица, осуществляющего подготовку проектной документации, сведения о разделах проектной документации, подготовленных этим лицом</t>
  </si>
  <si>
    <t>Фамилия, имя, отчество (последнее - при наличии), должность (при наличии)</t>
  </si>
  <si>
    <t>Сведения о положительном заключении экспертизы проектной документации (заполняется в случае, если при строительстве, реконструкции объекта капитального строительства в соответствии со статьей 49 Градостроительного кодекса Российской Федерации (Собрание законодательства Российской Федерации, 2005, № 1, ст. 16; 2022, № 29, ст. 5317) проводится экспертиза проектной документации)</t>
  </si>
  <si>
    <t>(номер и дата выдачи, орган или организация, его утвердившие)</t>
  </si>
  <si>
    <t>Лицо, осуществляющее строительство, реконструкцию, капитальный ремонт</t>
  </si>
  <si>
    <t>Уполномоченный представитель лица, осуществляющего строительство,   реконструкцию, капитальный ремонт</t>
  </si>
  <si>
    <t xml:space="preserve">Уполномоченный представитель застройщика или технического заказчика 
по вопросам строительного контроля </t>
  </si>
  <si>
    <t>Уполномоченный представитель лица, ответственного за эксплуатацию здания, сооружения, и (или) регионального оператора по вопросам строительного контроля</t>
  </si>
  <si>
    <t>Уполномоченный представитель лица, осуществляющего строительство, реконструкцию, капитальный ремонт, по вопросам строительного контроля</t>
  </si>
  <si>
    <t>Другие лица, осуществляющие строительство, реконструкцию, капитальный ремонт, их уполномоченные представители</t>
  </si>
  <si>
    <t>Фамилия, имя, отчество (последнее - при наличии), адрес места жительства, ОГРНИП, ИНН-для индивидуальных предпринимателей, полное и (или) сокращенное наименование, ОГРН, ИНН, место нахождения - для юридических лиц, фамилия, имя, отчество (последнее - при наличии) паспортные данные, адрес места жительства - для физических лиц, не являющихся индивидуальными предпринимателями</t>
  </si>
  <si>
    <t>Фамилия, имя, отчество (последнее - при наличии), должность (при наличии) уполномоченного представителя лица, осуществляющего строительство, реконструкцию, капитальный ремонт, наименование, дата, номер документа, подтверждающего полномочие</t>
  </si>
  <si>
    <t>Выполняемые работы по строительству, реконструкции, капитальному ремонту объекта капитального строительства</t>
  </si>
  <si>
    <t xml:space="preserve">Подпись
уполномоченного
представителя
лица,
осуществляющего
строительство,
реконструкцию,
капитальный
ремонт
</t>
  </si>
  <si>
    <r>
      <t>Сведения о государственном строительном надзоре</t>
    </r>
    <r>
      <rPr>
        <b/>
        <sz val="11"/>
        <rFont val="Times New Roman"/>
        <family val="1"/>
        <charset val="204"/>
      </rPr>
      <t xml:space="preserve"> </t>
    </r>
  </si>
  <si>
    <t>(наименование органа  государственного строительного надзора, почтовые реквизиты, телефон/факс, адрес электронной почты (при наличии),</t>
  </si>
  <si>
    <t>фамилия, имя, отчество (последнее - при наличии), должность должностного лица,</t>
  </si>
  <si>
    <t>номер, дата приказа (распоряжения) о назначении должностного лица ответственным за осуществление государственного строительного надзора на объекте капитального строительства)</t>
  </si>
  <si>
    <r>
      <t>Общие сведения об объекте капитального строительства</t>
    </r>
    <r>
      <rPr>
        <b/>
        <sz val="11"/>
        <rFont val="Times New Roman"/>
        <family val="1"/>
        <charset val="204"/>
      </rPr>
      <t xml:space="preserve">   </t>
    </r>
    <r>
      <rPr>
        <i/>
        <sz val="11"/>
        <rFont val="Times New Roman"/>
        <family val="1"/>
        <charset val="204"/>
      </rPr>
      <t xml:space="preserve">                           </t>
    </r>
  </si>
  <si>
    <t>(наименование объекта капитального строительства,</t>
  </si>
  <si>
    <t>краткие  проектные  характеристики объекта капитального строительства)</t>
  </si>
  <si>
    <t xml:space="preserve">Начало строительства, реконструкции, капитального ремонта объекта капитального  </t>
  </si>
  <si>
    <t>строительства</t>
  </si>
  <si>
    <t xml:space="preserve">                                                                                                    </t>
  </si>
  <si>
    <t xml:space="preserve"> (дата)</t>
  </si>
  <si>
    <t xml:space="preserve">Окончание строительства, реконструкции, капитального ремонта объекта капитального  </t>
  </si>
  <si>
    <r>
      <t xml:space="preserve">В настоящем журнале </t>
    </r>
    <r>
      <rPr>
        <i/>
        <sz val="10"/>
        <rFont val="Times New Roman"/>
        <family val="1"/>
        <charset val="204"/>
      </rPr>
      <t/>
    </r>
  </si>
  <si>
    <t xml:space="preserve">страниц. Журнал пронумерован, сброшюрован и скреплен </t>
  </si>
  <si>
    <t xml:space="preserve">печатью.  (заполняется в случае, если общий журнал, в котором ведется учет выполненных </t>
  </si>
  <si>
    <t>работ, ведется на бумажном носителе).</t>
  </si>
  <si>
    <t xml:space="preserve">В журнале содержится учет выполнения работ в период с </t>
  </si>
  <si>
    <t>по</t>
  </si>
  <si>
    <t>(заполняется в случае, если в процессе строительства, реконструкции, капитального ремонта велось несколько журналов).</t>
  </si>
  <si>
    <t>(личная подпись)</t>
  </si>
  <si>
    <t>(расшифровка подписи)</t>
  </si>
  <si>
    <t>(должность (при наличии)  -  для застройщика или технического заказчика, являющегося юридическим лицом)</t>
  </si>
  <si>
    <t>М.П.</t>
  </si>
  <si>
    <t>(при наличии)</t>
  </si>
  <si>
    <t>(для застройщика или технического заказчика, являющегося юридическим лицом, заполняется в случае, если общий журнал, в котором ведется учет выполненных работ, ведется на бумажном носителе)</t>
  </si>
  <si>
    <t>Регистрационная надпись органа государственного строительного надзора</t>
  </si>
  <si>
    <t>(заполняется должностным лицом органа государственного строительного надзора)</t>
  </si>
  <si>
    <t>(должность (при наличии)</t>
  </si>
  <si>
    <t>"</t>
  </si>
  <si>
    <t>г.</t>
  </si>
  <si>
    <t>Сведения об изменениях в записях титульного листа общего журнала, в котором ведется учет выполнения работ по строительству, реконструкции, капитальному ремонту объекта капитального строительства</t>
  </si>
  <si>
    <t>№
п/п</t>
  </si>
  <si>
    <t>Дата</t>
  </si>
  <si>
    <t>Изменения в записях с указанием основания</t>
  </si>
  <si>
    <t>Фамилия, инициалы, должность (при наличии) лица, внесшего изменения, наименование, дата, номер документа, подтверждающего полномочие лица</t>
  </si>
  <si>
    <t>РАЗДЕЛ 1</t>
  </si>
  <si>
    <t>Список инженерно-технического персонала лица, осуществляющего строительство, реконструкцию, капитальный ремонт, занятого при строительстве, реконструкции,  капитальном ремонте объекта капитального строительства</t>
  </si>
  <si>
    <t xml:space="preserve">№
п/п
</t>
  </si>
  <si>
    <t>Полное и (или) сокращенное наименование или фамилия, имя отчество (последнее - при наличии) лица, осуществляющего строительство, реконструкцию, капитальный ремонт</t>
  </si>
  <si>
    <t>Фамилия, 
инициалы,
должность (при наличии) лица, входящего в список инженерно- технического персонала</t>
  </si>
  <si>
    <t xml:space="preserve">Дата начала 
работ на объекте капитального строительства с указанием вида работ
</t>
  </si>
  <si>
    <t xml:space="preserve">Дата окончания работ на объекте капитального строительства </t>
  </si>
  <si>
    <t>РАЗДЕЛ 2</t>
  </si>
  <si>
    <t xml:space="preserve">Перечень специальных журналов, в которых ведется учет выполнения работ, а также журналов авторского надзора лица, осуществляющего подготовку проектной документации </t>
  </si>
  <si>
    <t>Наименование специального журнала (журнала авторского надзора) и дата его выдачи</t>
  </si>
  <si>
    <t>Полное и (или) сокращенное наименование или фамилия, имя, отчество (при наличии) лица, осуществляющего строительство, реконструкцию, капитальный ремонт (лица, осуществляющего подготовку проектной документации), ведущих журнал, их уполномоченных представителей с указанием должности (при наличии), фамилии, инициалов</t>
  </si>
  <si>
    <t xml:space="preserve">Дата передачи застройщику или заказчику журнала </t>
  </si>
  <si>
    <t>Подпись уполномоченного представителя застройщика или технического заказчика, лица, ответственного за эксплуатацию здания, сооружения, и (или) регионального оператора</t>
  </si>
  <si>
    <t>РАЗДЕЛ 4</t>
  </si>
  <si>
    <t>Сведения о строительном контроле в процессе строительства, реконструкции, капитального ремонта объекта капитального строительства</t>
  </si>
  <si>
    <t>Сведения о проведении строительного 
контроля при строительстве, реконструкции, капитальном ремонте объекта
 капитального строительства</t>
  </si>
  <si>
    <t>Выявленные 
недостатки</t>
  </si>
  <si>
    <t>Срок устранения выявленных недостатков</t>
  </si>
  <si>
    <t>Должность (при наличии), фамилия, инициалы, подпись уполномоченного представителя застройщика или технического заказчика, лица, ответственного за эксплуатацию здания, сооружения, и (или) регионального оператора по вопросам строительного контроля</t>
  </si>
  <si>
    <t>Дата устранения недостатков</t>
  </si>
  <si>
    <t xml:space="preserve">Должность (при наличии), фамилия, инициалы, подпись уполномоченного представителя застройщика или технического заказчика, лица, ответственного за
эксплуатацию здания, сооружения, и(или) регионального оператора по вопросам строительного контроля
</t>
  </si>
  <si>
    <t>7</t>
  </si>
  <si>
    <t>РАЗДЕЛ 6</t>
  </si>
  <si>
    <t>Сведения о государственном строительном надзоре при строительстве, 
реконструкции, капитальном ремонте объекта капитального строительства</t>
  </si>
  <si>
    <t>Дата
контрольного
(надзорного)
мероприятия</t>
  </si>
  <si>
    <t>Данные о проведенных органом государственного строительного надзора контрольных (надзорных) мероприятиях</t>
  </si>
  <si>
    <t>Срок устранения выявленных нарушений</t>
  </si>
  <si>
    <t xml:space="preserve">Должность, фамилия, инициалы, подпись должностного лица </t>
  </si>
  <si>
    <t>Фактическая дата устранения выявленных нарушений</t>
  </si>
  <si>
    <t>приказ Минстроя РФ №1026/пр от 02.12.2022</t>
  </si>
  <si>
    <t>В журнале пронумеровано и прошнуровано</t>
  </si>
  <si>
    <t>“ ____ ” _____________ 20___ г.</t>
  </si>
  <si>
    <t>(должность, фамилия, инициалы и подпись руководителя организации,</t>
  </si>
  <si>
    <t>выдавшего журнал)</t>
  </si>
  <si>
    <t>ОБЩИЙ ЖУРНАЛ РАБОТ</t>
  </si>
  <si>
    <t>№ п/п</t>
  </si>
  <si>
    <r>
      <t>Разделитель Работа</t>
    </r>
    <r>
      <rPr>
        <sz val="11"/>
        <color rgb="FF0066FF"/>
        <rFont val="Calibri"/>
        <family val="2"/>
        <charset val="204"/>
        <scheme val="minor"/>
      </rPr>
      <t>[   ]</t>
    </r>
    <r>
      <rPr>
        <sz val="11"/>
        <color theme="1"/>
        <rFont val="Calibri"/>
        <family val="2"/>
        <scheme val="minor"/>
      </rPr>
      <t>Работа</t>
    </r>
  </si>
  <si>
    <r>
      <t>Разделитель Работа</t>
    </r>
    <r>
      <rPr>
        <sz val="11"/>
        <color rgb="FF0066FF"/>
        <rFont val="Calibri"/>
        <family val="2"/>
        <charset val="204"/>
        <scheme val="minor"/>
      </rPr>
      <t>[   ]</t>
    </r>
    <r>
      <rPr>
        <sz val="11"/>
        <color theme="1"/>
        <rFont val="Calibri"/>
        <family val="2"/>
        <scheme val="minor"/>
      </rPr>
      <t>Материал</t>
    </r>
  </si>
  <si>
    <r>
      <t>Разделитель Название акта</t>
    </r>
    <r>
      <rPr>
        <sz val="11"/>
        <color rgb="FF0066FF"/>
        <rFont val="Calibri"/>
        <family val="2"/>
        <charset val="204"/>
        <scheme val="minor"/>
      </rPr>
      <t>[   ]</t>
    </r>
    <r>
      <rPr>
        <sz val="11"/>
        <color theme="1"/>
        <rFont val="Calibri"/>
        <family val="2"/>
        <scheme val="minor"/>
      </rPr>
      <t>Номер акта</t>
    </r>
  </si>
  <si>
    <r>
      <t>Разделитель Номер акта</t>
    </r>
    <r>
      <rPr>
        <sz val="11"/>
        <color rgb="FF0066FF"/>
        <rFont val="Calibri"/>
        <family val="2"/>
        <charset val="204"/>
        <scheme val="minor"/>
      </rPr>
      <t>[   ]</t>
    </r>
    <r>
      <rPr>
        <sz val="11"/>
        <color theme="1"/>
        <rFont val="Calibri"/>
        <family val="2"/>
        <scheme val="minor"/>
      </rPr>
      <t>Название работ</t>
    </r>
  </si>
  <si>
    <r>
      <t>Разделитель Дата акта</t>
    </r>
    <r>
      <rPr>
        <sz val="11"/>
        <color rgb="FF0066FF"/>
        <rFont val="Calibri"/>
        <family val="2"/>
        <charset val="204"/>
        <scheme val="minor"/>
      </rPr>
      <t>[   ]</t>
    </r>
    <r>
      <rPr>
        <sz val="11"/>
        <color theme="1"/>
        <rFont val="Calibri"/>
        <family val="2"/>
        <scheme val="minor"/>
      </rPr>
      <t>Подписанты</t>
    </r>
  </si>
  <si>
    <r>
      <t>Разделитель Подписант</t>
    </r>
    <r>
      <rPr>
        <sz val="11"/>
        <color rgb="FF0066FF"/>
        <rFont val="Calibri"/>
        <family val="2"/>
        <charset val="204"/>
        <scheme val="minor"/>
      </rPr>
      <t>[   ]</t>
    </r>
    <r>
      <rPr>
        <sz val="11"/>
        <color theme="1"/>
        <rFont val="Calibri"/>
        <family val="2"/>
        <scheme val="minor"/>
      </rPr>
      <t>Подписант</t>
    </r>
  </si>
  <si>
    <t>Автогенератор ИД 5</t>
  </si>
  <si>
    <t>Из каких файлов сделать журнал?</t>
  </si>
  <si>
    <t/>
  </si>
  <si>
    <t>Даты работ</t>
  </si>
  <si>
    <t>Автоназвание работ</t>
  </si>
  <si>
    <t>ФИО</t>
  </si>
  <si>
    <t>Имя файла</t>
  </si>
  <si>
    <t>5.3.7</t>
  </si>
  <si>
    <t>Автогенератор ИД 5_25.12.16.xlsm</t>
  </si>
  <si>
    <t>Автогенератор ИД 5_25.12.16_full.xlsm</t>
  </si>
  <si>
    <t>Автогенератор ИД 5_25.12.21_full.xlsm</t>
  </si>
  <si>
    <t>Армирование вертикальных конструкций с опалубкой на отм. -0.100, +4.750 в осях 33-34/А'-Б — Арматура А500С ГОСТ 34028-2016 - 10мм; Арматура А500С ГОСТ 34028-2016 - 36мм; Проволока 1,2-ОЧ-Моток ГОСТ 3282-74; Бетон B25</t>
  </si>
  <si>
    <t xml:space="preserve">Главный инженер ГП Палкин Николай Петрович 
</t>
  </si>
  <si>
    <t>Армирование вертикальных конструкций с опалубкой на отм. -0.100, +4.750 в осях 33-34/А'-Б — Арматура А500С ГОСТ 34028-2016 - 10мм; Арматура А500С ГОСТ 34028-2016 - 36мм; Проволока 1,2-ОЧ-Моток ГОСТ 3282-74; Бетон B25. Армирование вертикальных конструкций с опалубкой на отм. -0.100 в осях Г1-Г4/Д1-Д2</t>
  </si>
  <si>
    <t>Армирование вертикальных конструкций с опалубкой на отм. -0.100, +4.750 в осях 33-34/А'-Б — Арматура А500С ГОСТ 34028-2016 - 10мм; Арматура А500С ГОСТ 34028-2016 - 36мм; Проволока 1,2-ОЧ-Моток ГОСТ 3282-74; Бетон B25. Бетонирование вертикальных конструкций на отм. -0.100, +4.750 в осях 33-34/А'-Б — Бетон B25. Армирование вертикальных конструкций с опалубкой на отм. -0.100 в осях Г1-Г4/Д1-Д2</t>
  </si>
  <si>
    <t>Армирование вертикальных конструкций с опалубкой на отм. -0.100 в осях Г1-Г4/Д1-Д2</t>
  </si>
  <si>
    <t>Армирование вертикальных конструкций с опалубкой на отм. -0.100 в осях Г1-Г4/Д1-Д2. Бетонирование вертикальных конструкций на отм. -0.100 в осях Г1-Г4/Д1-Д2</t>
  </si>
  <si>
    <t>Акт освидетельствования скрытых работ 1. Армирование вертикальных конструкций с опалубкой на отм. -0.100, +4.750 в осях 33-34/А'-Б</t>
  </si>
  <si>
    <t>25.03.2024
Старший инженер Московский фонд реновации жилой застройки Елкин Алексей Александрович; Главный инженер ГП ООО "Генподрядчик" Палкин Николай Петрович; Технадзор ГП ООО "Генподрядчик" Иванов С. О.; Прораб ООО "Подрядчик" Петров К.К.; ГИП ООО "Авторский" Кукин С.Т.; ГИП ООО "Эксплуатация" Иной А.А.</t>
  </si>
  <si>
    <t>Акт освидетельствования скрытых работ 2. Бетонирование вертикальных конструкций на отм. -0.100, +4.750 в осях 33-34/А'-Б</t>
  </si>
  <si>
    <t>01.04.2024
Старший инженер Московский фонд реновации жилой застройки Елкин Алексей Александрович; Главный инженер ГП ООО "Генподрядчик" Палкин Николай Петрович; Технадзор ГП ООО "Генподрядчик" Иванов С. О.; Прораб ООО "Подрядчик" Петров К.К.; ГИП ООО "Авторский" Кукин С.Т.</t>
  </si>
  <si>
    <t>Акт освидетельствования скрытых работ 3. Армирование вертикальных конструкций с опалубкой на отм. -0.100 в осях Г1-Г4/Д1-Д2</t>
  </si>
  <si>
    <t>01.04.2024
Старший инженер Московский фонд реновации жилой застройки Елкин Алексей Александрович; Главный инженер ГП ООО "Генподрядчик" Палкин Николай Петрович; Технадзор ГП ООО "Генподрядчик" Иванов С. О.; Прораб ООО "Подрядчик" Петров К.К.; ГИП ООО "Авторский" Кукин С.Т.; ГИП ООО "Эксплуатация" Иной А.А.</t>
  </si>
  <si>
    <t>Акт освидетельствования ответственных конструкций 4. Бетонирование вертикальных конструкций на отм. -0.100 в осях Г1-Г4/Д1-Д2</t>
  </si>
  <si>
    <t>08.04.2024
Старший инженер Московский фонд реновации жилой застройки Елкин Алексей Александрович; Главный инженер ГП ООО "Генподрядчик" Палкин Николай Петрович; Технадзор ГП ООО "Генподрядчик" Иванов С. О.; Прораб ООО "Подрядчик" Петров К.К.; ГИП ООО "Авторский" Кукин С.Т.</t>
  </si>
  <si>
    <t>Армирование вертикальных конструкций с опалубкой на отм. -0.100, +4.750 в осях 33-34/А'-Б</t>
  </si>
  <si>
    <t>Бетонирование вертикальных конструкций на отм. -0.100, +4.750 в осях 33-34/А'-Б</t>
  </si>
  <si>
    <t>Бетонирование вертикальных конструкций на отм. -0.100 в осях Г1-Г4/Д1-Д2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</si>
</sst>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b/>
      <sz val="14"/>
      <name val="Times New Roman"/>
      <family val="1"/>
      <charset val="204"/>
    </font>
    <font>
      <sz val="10"/>
      <name val="Times New Roman"/>
      <family val="1"/>
      <charset val="204"/>
    </font>
    <font>
      <i/>
      <sz val="10"/>
      <name val="Times New Roman"/>
      <family val="1"/>
      <charset val="204"/>
    </font>
    <font>
      <i/>
      <sz val="11"/>
      <name val="Times New Roman"/>
      <family val="1"/>
      <charset val="204"/>
    </font>
    <font>
      <b/>
      <sz val="11"/>
      <color theme="1"/>
      <name val="Calibri"/>
      <family val="2"/>
      <charset val="204"/>
      <scheme val="minor"/>
    </font>
    <font>
      <sz val="11"/>
      <color rgb="FF0066FF"/>
      <name val="Calibri"/>
      <family val="2"/>
      <scheme val="minor"/>
    </font>
    <font>
      <sz val="8"/>
      <name val="Calibri"/>
      <family val="2"/>
      <scheme val="minor"/>
    </font>
    <font>
      <sz val="10"/>
      <name val="Arial"/>
      <family val="2"/>
      <charset val="204"/>
    </font>
    <font>
      <b/>
      <i/>
      <sz val="14"/>
      <name val="Arial"/>
      <family val="2"/>
      <charset val="204"/>
    </font>
    <font>
      <sz val="11"/>
      <name val="Times New Roman"/>
      <family val="1"/>
      <charset val="204"/>
    </font>
    <font>
      <b/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i/>
      <sz val="10"/>
      <name val="Times New Roman"/>
      <family val="1"/>
      <charset val="204"/>
    </font>
    <font>
      <i/>
      <sz val="8"/>
      <name val="Times New Roman"/>
      <family val="1"/>
      <charset val="204"/>
    </font>
    <font>
      <b/>
      <sz val="8"/>
      <name val="Times New Roman"/>
      <family val="1"/>
      <charset val="204"/>
    </font>
    <font>
      <b/>
      <i/>
      <sz val="10"/>
      <color indexed="10"/>
      <name val="Times New Roman"/>
      <family val="1"/>
      <charset val="204"/>
    </font>
    <font>
      <i/>
      <sz val="9"/>
      <name val="Times New Roman"/>
      <family val="1"/>
      <charset val="204"/>
    </font>
    <font>
      <sz val="11"/>
      <color rgb="FF000000"/>
      <name val="Times New Roman"/>
      <family val="1"/>
      <charset val="204"/>
    </font>
    <font>
      <b/>
      <sz val="9"/>
      <name val="Times New Roman"/>
      <family val="1"/>
      <charset val="204"/>
    </font>
    <font>
      <sz val="13"/>
      <name val="Times New Roman"/>
      <family val="1"/>
      <charset val="204"/>
    </font>
    <font>
      <i/>
      <sz val="12"/>
      <name val="Times New Roman"/>
      <family val="1"/>
      <charset val="204"/>
    </font>
    <font>
      <sz val="16"/>
      <name val="Times New Roman"/>
      <family val="1"/>
      <charset val="204"/>
    </font>
    <font>
      <b/>
      <i/>
      <sz val="11"/>
      <name val="Times New Roman"/>
      <family val="1"/>
      <charset val="204"/>
    </font>
    <font>
      <i/>
      <sz val="10"/>
      <color indexed="8"/>
      <name val="Times New Roman"/>
      <family val="1"/>
      <charset val="204"/>
    </font>
    <font>
      <vertAlign val="superscript"/>
      <sz val="10"/>
      <name val="Arial"/>
      <family val="2"/>
      <charset val="204"/>
    </font>
    <font>
      <sz val="9"/>
      <name val="Calibri"/>
      <family val="2"/>
      <charset val="204"/>
      <scheme val="minor"/>
    </font>
    <font>
      <b/>
      <sz val="20"/>
      <name val="Times New Roman"/>
      <family val="1"/>
      <charset val="204"/>
    </font>
    <font>
      <b/>
      <sz val="22"/>
      <color theme="1"/>
      <name val="Segoe UI Black"/>
      <family val="2"/>
      <charset val="204"/>
    </font>
    <font>
      <sz val="11"/>
      <color rgb="FF0066FF"/>
      <name val="Calibri"/>
      <family val="2"/>
      <charset val="204"/>
      <scheme val="minor"/>
    </font>
    <font>
      <b/>
      <sz val="11"/>
      <color rgb="FF0066FF"/>
      <name val="Segoe UI Black"/>
      <family val="2"/>
      <charset val="204"/>
    </font>
    <font>
      <sz val="12"/>
      <color theme="1"/>
      <name val="Segoe UI Black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</borders>
  <cellStyleXfs count="4">
    <xf numFmtId="0" fontId="0" fillId="0" borderId="0"/>
    <xf numFmtId="0" fontId="1" fillId="0" borderId="0"/>
    <xf numFmtId="0" fontId="9" fillId="0" borderId="0"/>
    <xf numFmtId="0" fontId="9" fillId="0" borderId="0"/>
  </cellStyleXfs>
  <cellXfs count="191">
    <xf numFmtId="0" fontId="0" fillId="0" borderId="0" xfId="0"/>
    <xf numFmtId="0" fontId="0" fillId="0" borderId="0" xfId="0" applyAlignment="1">
      <alignment horizontal="center" vertical="center"/>
    </xf>
    <xf numFmtId="49" fontId="3" fillId="0" borderId="0" xfId="1" applyNumberFormat="1" applyFont="1" applyAlignment="1">
      <alignment vertical="center" wrapText="1"/>
    </xf>
    <xf numFmtId="49" fontId="2" fillId="0" borderId="0" xfId="1" applyNumberFormat="1" applyFont="1"/>
    <xf numFmtId="0" fontId="6" fillId="0" borderId="0" xfId="0" applyFont="1"/>
    <xf numFmtId="0" fontId="0" fillId="0" borderId="3" xfId="0" applyBorder="1"/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left" vertical="top" wrapText="1"/>
    </xf>
    <xf numFmtId="49" fontId="2" fillId="0" borderId="0" xfId="1" applyNumberFormat="1" applyFont="1" applyAlignment="1">
      <alignment horizontal="center"/>
    </xf>
    <xf numFmtId="0" fontId="7" fillId="0" borderId="0" xfId="0" applyFont="1"/>
    <xf numFmtId="49" fontId="3" fillId="0" borderId="0" xfId="1" applyNumberFormat="1" applyFont="1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0" fillId="0" borderId="3" xfId="0" applyBorder="1" applyAlignment="1">
      <alignment wrapText="1"/>
    </xf>
    <xf numFmtId="0" fontId="0" fillId="0" borderId="0" xfId="0" applyAlignment="1">
      <alignment wrapText="1"/>
    </xf>
    <xf numFmtId="0" fontId="0" fillId="0" borderId="0" xfId="0" applyAlignment="1">
      <alignment vertical="center"/>
    </xf>
    <xf numFmtId="0" fontId="9" fillId="0" borderId="0" xfId="2"/>
    <xf numFmtId="49" fontId="2" fillId="0" borderId="0" xfId="2" applyNumberFormat="1" applyFont="1" applyAlignment="1">
      <alignment horizontal="center"/>
    </xf>
    <xf numFmtId="49" fontId="2" fillId="0" borderId="0" xfId="2" applyNumberFormat="1" applyFont="1" applyAlignment="1">
      <alignment horizontal="right"/>
    </xf>
    <xf numFmtId="0" fontId="9" fillId="0" borderId="0" xfId="2" applyAlignment="1">
      <alignment horizontal="left"/>
    </xf>
    <xf numFmtId="0" fontId="2" fillId="0" borderId="0" xfId="2" applyFont="1" applyAlignment="1">
      <alignment horizontal="right"/>
    </xf>
    <xf numFmtId="49" fontId="15" fillId="0" borderId="0" xfId="2" applyNumberFormat="1" applyFont="1"/>
    <xf numFmtId="49" fontId="15" fillId="0" borderId="0" xfId="2" applyNumberFormat="1" applyFont="1" applyAlignment="1">
      <alignment horizontal="center"/>
    </xf>
    <xf numFmtId="49" fontId="11" fillId="0" borderId="0" xfId="2" applyNumberFormat="1" applyFont="1" applyAlignment="1">
      <alignment vertical="center"/>
    </xf>
    <xf numFmtId="49" fontId="14" fillId="0" borderId="0" xfId="2" applyNumberFormat="1" applyFont="1" applyAlignment="1">
      <alignment vertical="center"/>
    </xf>
    <xf numFmtId="0" fontId="11" fillId="0" borderId="0" xfId="2" applyFont="1"/>
    <xf numFmtId="49" fontId="14" fillId="0" borderId="0" xfId="2" applyNumberFormat="1" applyFont="1" applyAlignment="1">
      <alignment horizontal="left" vertical="center"/>
    </xf>
    <xf numFmtId="49" fontId="11" fillId="0" borderId="0" xfId="3" applyNumberFormat="1" applyFont="1" applyAlignment="1">
      <alignment vertical="center"/>
    </xf>
    <xf numFmtId="49" fontId="14" fillId="0" borderId="0" xfId="3" applyNumberFormat="1" applyFont="1" applyAlignment="1">
      <alignment vertical="center"/>
    </xf>
    <xf numFmtId="0" fontId="11" fillId="0" borderId="0" xfId="3" applyFont="1"/>
    <xf numFmtId="49" fontId="18" fillId="0" borderId="0" xfId="2" applyNumberFormat="1" applyFont="1" applyAlignment="1">
      <alignment horizontal="center" wrapText="1"/>
    </xf>
    <xf numFmtId="49" fontId="18" fillId="0" borderId="0" xfId="2" applyNumberFormat="1" applyFont="1" applyAlignment="1">
      <alignment horizontal="center"/>
    </xf>
    <xf numFmtId="49" fontId="15" fillId="0" borderId="0" xfId="2" applyNumberFormat="1" applyFont="1" applyAlignment="1">
      <alignment horizontal="center" vertical="center"/>
    </xf>
    <xf numFmtId="49" fontId="11" fillId="0" borderId="0" xfId="2" applyNumberFormat="1" applyFont="1" applyAlignment="1">
      <alignment horizontal="left" vertical="center"/>
    </xf>
    <xf numFmtId="49" fontId="15" fillId="0" borderId="0" xfId="2" applyNumberFormat="1" applyFont="1" applyAlignment="1">
      <alignment horizontal="center" vertical="center" wrapText="1"/>
    </xf>
    <xf numFmtId="49" fontId="11" fillId="0" borderId="0" xfId="2" applyNumberFormat="1" applyFont="1" applyAlignment="1">
      <alignment wrapText="1"/>
    </xf>
    <xf numFmtId="49" fontId="11" fillId="0" borderId="0" xfId="2" applyNumberFormat="1" applyFont="1"/>
    <xf numFmtId="49" fontId="14" fillId="0" borderId="0" xfId="2" applyNumberFormat="1" applyFont="1" applyAlignment="1">
      <alignment horizontal="center" vertical="center"/>
    </xf>
    <xf numFmtId="0" fontId="11" fillId="0" borderId="0" xfId="2" applyFont="1" applyAlignment="1">
      <alignment horizontal="center"/>
    </xf>
    <xf numFmtId="49" fontId="11" fillId="0" borderId="0" xfId="2" applyNumberFormat="1" applyFont="1" applyAlignment="1">
      <alignment horizontal="left"/>
    </xf>
    <xf numFmtId="49" fontId="14" fillId="0" borderId="0" xfId="2" applyNumberFormat="1" applyFont="1"/>
    <xf numFmtId="49" fontId="20" fillId="0" borderId="0" xfId="2" applyNumberFormat="1" applyFont="1" applyAlignment="1">
      <alignment horizontal="left"/>
    </xf>
    <xf numFmtId="49" fontId="15" fillId="0" borderId="0" xfId="2" applyNumberFormat="1" applyFont="1" applyAlignment="1">
      <alignment horizontal="center" vertical="top" wrapText="1"/>
    </xf>
    <xf numFmtId="49" fontId="12" fillId="0" borderId="0" xfId="2" applyNumberFormat="1" applyFont="1"/>
    <xf numFmtId="49" fontId="4" fillId="0" borderId="0" xfId="2" applyNumberFormat="1" applyFont="1" applyAlignment="1">
      <alignment horizontal="left"/>
    </xf>
    <xf numFmtId="49" fontId="11" fillId="0" borderId="0" xfId="2" applyNumberFormat="1" applyFont="1" applyAlignment="1">
      <alignment horizontal="center" wrapText="1"/>
    </xf>
    <xf numFmtId="49" fontId="21" fillId="0" borderId="0" xfId="2" applyNumberFormat="1" applyFont="1"/>
    <xf numFmtId="49" fontId="11" fillId="0" borderId="0" xfId="2" applyNumberFormat="1" applyFont="1" applyAlignment="1">
      <alignment horizontal="left" wrapText="1"/>
    </xf>
    <xf numFmtId="49" fontId="18" fillId="0" borderId="0" xfId="2" applyNumberFormat="1" applyFont="1" applyAlignment="1">
      <alignment vertical="top" wrapText="1"/>
    </xf>
    <xf numFmtId="49" fontId="4" fillId="0" borderId="0" xfId="2" applyNumberFormat="1" applyFont="1" applyAlignment="1">
      <alignment vertical="top" wrapText="1"/>
    </xf>
    <xf numFmtId="0" fontId="13" fillId="0" borderId="0" xfId="2" applyFont="1" applyAlignment="1">
      <alignment horizontal="center" vertical="center"/>
    </xf>
    <xf numFmtId="0" fontId="11" fillId="0" borderId="0" xfId="3" applyFont="1" applyAlignment="1">
      <alignment horizontal="right"/>
    </xf>
    <xf numFmtId="0" fontId="9" fillId="0" borderId="0" xfId="2" applyAlignment="1">
      <alignment wrapText="1"/>
    </xf>
    <xf numFmtId="0" fontId="9" fillId="0" borderId="10" xfId="2" applyBorder="1"/>
    <xf numFmtId="0" fontId="9" fillId="0" borderId="4" xfId="2" applyBorder="1"/>
    <xf numFmtId="0" fontId="9" fillId="0" borderId="11" xfId="2" applyBorder="1"/>
    <xf numFmtId="0" fontId="9" fillId="0" borderId="12" xfId="2" applyBorder="1"/>
    <xf numFmtId="0" fontId="2" fillId="0" borderId="0" xfId="2" applyFont="1" applyAlignment="1">
      <alignment horizontal="right" vertical="center" wrapText="1"/>
    </xf>
    <xf numFmtId="0" fontId="2" fillId="0" borderId="5" xfId="2" applyFont="1" applyBorder="1" applyAlignment="1">
      <alignment horizontal="right" vertical="center" wrapText="1"/>
    </xf>
    <xf numFmtId="0" fontId="2" fillId="0" borderId="0" xfId="2" applyFont="1" applyAlignment="1">
      <alignment vertical="center" wrapText="1"/>
    </xf>
    <xf numFmtId="0" fontId="9" fillId="0" borderId="13" xfId="2" applyBorder="1"/>
    <xf numFmtId="0" fontId="9" fillId="0" borderId="1" xfId="2" applyBorder="1"/>
    <xf numFmtId="0" fontId="9" fillId="0" borderId="14" xfId="2" applyBorder="1"/>
    <xf numFmtId="0" fontId="9" fillId="0" borderId="2" xfId="2" applyBorder="1"/>
    <xf numFmtId="49" fontId="4" fillId="2" borderId="3" xfId="2" applyNumberFormat="1" applyFont="1" applyFill="1" applyBorder="1" applyAlignment="1">
      <alignment horizontal="center" vertical="center" wrapText="1"/>
    </xf>
    <xf numFmtId="49" fontId="18" fillId="2" borderId="3" xfId="2" applyNumberFormat="1" applyFont="1" applyFill="1" applyBorder="1" applyAlignment="1">
      <alignment horizontal="center" vertical="center" wrapText="1"/>
    </xf>
    <xf numFmtId="49" fontId="25" fillId="2" borderId="3" xfId="2" applyNumberFormat="1" applyFont="1" applyFill="1" applyBorder="1" applyAlignment="1">
      <alignment horizontal="center" vertical="center" wrapText="1"/>
    </xf>
    <xf numFmtId="49" fontId="15" fillId="0" borderId="3" xfId="2" applyNumberFormat="1" applyFont="1" applyBorder="1" applyAlignment="1">
      <alignment horizontal="center" vertical="center" wrapText="1"/>
    </xf>
    <xf numFmtId="49" fontId="15" fillId="0" borderId="3" xfId="2" applyNumberFormat="1" applyFont="1" applyBorder="1" applyAlignment="1">
      <alignment horizontal="center" vertical="center" textRotation="90" wrapText="1"/>
    </xf>
    <xf numFmtId="49" fontId="15" fillId="0" borderId="3" xfId="2" applyNumberFormat="1" applyFont="1" applyBorder="1" applyAlignment="1">
      <alignment horizontal="center"/>
    </xf>
    <xf numFmtId="49" fontId="3" fillId="0" borderId="3" xfId="2" applyNumberFormat="1" applyFont="1" applyBorder="1" applyAlignment="1">
      <alignment wrapText="1"/>
    </xf>
    <xf numFmtId="49" fontId="4" fillId="0" borderId="3" xfId="1" applyNumberFormat="1" applyFont="1" applyBorder="1" applyAlignment="1">
      <alignment horizontal="center" vertical="center" wrapText="1"/>
    </xf>
    <xf numFmtId="14" fontId="4" fillId="0" borderId="3" xfId="1" applyNumberFormat="1" applyFont="1" applyBorder="1" applyAlignment="1">
      <alignment horizontal="center" vertical="center" wrapText="1"/>
    </xf>
    <xf numFmtId="0" fontId="0" fillId="0" borderId="3" xfId="0" applyBorder="1" applyAlignment="1">
      <alignment horizontal="center" vertical="center"/>
    </xf>
    <xf numFmtId="0" fontId="27" fillId="0" borderId="2" xfId="2" applyFont="1" applyBorder="1" applyAlignment="1">
      <alignment horizontal="right"/>
    </xf>
    <xf numFmtId="0" fontId="9" fillId="0" borderId="5" xfId="2" applyBorder="1"/>
    <xf numFmtId="0" fontId="9" fillId="0" borderId="12" xfId="2" applyBorder="1" applyAlignment="1">
      <alignment horizontal="right" indent="1"/>
    </xf>
    <xf numFmtId="0" fontId="4" fillId="0" borderId="3" xfId="0" applyFont="1" applyBorder="1" applyAlignment="1">
      <alignment horizontal="center" vertical="center" wrapText="1"/>
    </xf>
    <xf numFmtId="0" fontId="4" fillId="0" borderId="3" xfId="0" applyFont="1" applyBorder="1" applyAlignment="1">
      <alignment vertical="center" wrapText="1"/>
    </xf>
    <xf numFmtId="0" fontId="18" fillId="0" borderId="3" xfId="2" applyFont="1" applyBorder="1" applyAlignment="1">
      <alignment horizontal="center" vertical="center" wrapText="1"/>
    </xf>
    <xf numFmtId="0" fontId="18" fillId="0" borderId="3" xfId="2" applyFont="1" applyBorder="1" applyAlignment="1">
      <alignment horizontal="center"/>
    </xf>
    <xf numFmtId="0" fontId="3" fillId="0" borderId="3" xfId="2" applyFont="1" applyBorder="1" applyAlignment="1">
      <alignment wrapText="1"/>
    </xf>
    <xf numFmtId="0" fontId="29" fillId="0" borderId="0" xfId="0" applyFont="1"/>
    <xf numFmtId="0" fontId="31" fillId="0" borderId="0" xfId="0" quotePrefix="1" applyFont="1" applyAlignment="1">
      <alignment vertical="top"/>
    </xf>
    <xf numFmtId="0" fontId="32" fillId="0" borderId="0" xfId="0" applyFont="1"/>
    <xf numFmtId="0" fontId="2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0" fillId="0" borderId="17" xfId="0" applyBorder="1"/>
    <xf numFmtId="0" fontId="0" fillId="0" borderId="18" xfId="0" applyBorder="1"/>
    <xf numFmtId="14" fontId="0" fillId="0" borderId="17" xfId="0" applyNumberFormat="1" applyBorder="1"/>
    <xf numFmtId="0" fontId="0" fillId="0" borderId="19" xfId="0" applyBorder="1" applyAlignment="1">
      <alignment wrapText="1"/>
    </xf>
    <xf numFmtId="0" fontId="0" fillId="0" borderId="20" xfId="0" applyBorder="1" applyAlignment="1">
      <alignment wrapText="1"/>
    </xf>
    <xf numFmtId="0" fontId="0" fillId="0" borderId="17" xfId="0" applyBorder="1" applyAlignment="1">
      <alignment wrapText="1"/>
    </xf>
    <xf numFmtId="0" fontId="0" fillId="0" borderId="21" xfId="0" applyBorder="1" applyAlignment="1">
      <alignment wrapText="1"/>
    </xf>
    <xf numFmtId="0" fontId="0" fillId="0" borderId="17" xfId="0" pivotButton="1" applyBorder="1" applyAlignment="1">
      <alignment wrapText="1"/>
    </xf>
    <xf numFmtId="0" fontId="4" fillId="0" borderId="0" xfId="0" applyFont="1" applyAlignment="1">
      <alignment horizontal="center" vertical="center" wrapText="1"/>
    </xf>
    <xf numFmtId="0" fontId="0" fillId="0" borderId="17" xfId="0" pivotButton="1" applyBorder="1" applyAlignment="1">
      <alignment vertical="top" wrapText="1"/>
    </xf>
    <xf numFmtId="0" fontId="0" fillId="0" borderId="19" xfId="0" pivotButton="1" applyBorder="1" applyAlignment="1">
      <alignment vertical="top" wrapText="1"/>
    </xf>
    <xf numFmtId="0" fontId="0" fillId="0" borderId="18" xfId="0" applyBorder="1" applyAlignment="1">
      <alignment wrapText="1"/>
    </xf>
    <xf numFmtId="0" fontId="0" fillId="0" borderId="17" xfId="0" pivotButton="1" applyBorder="1" applyAlignment="1">
      <alignment vertical="top"/>
    </xf>
    <xf numFmtId="0" fontId="28" fillId="0" borderId="11" xfId="2" applyFont="1" applyBorder="1" applyAlignment="1">
      <alignment horizontal="center" vertical="center"/>
    </xf>
    <xf numFmtId="0" fontId="28" fillId="0" borderId="0" xfId="2" applyFont="1" applyAlignment="1">
      <alignment horizontal="center" vertical="center"/>
    </xf>
    <xf numFmtId="0" fontId="28" fillId="0" borderId="12" xfId="2" applyFont="1" applyBorder="1" applyAlignment="1">
      <alignment horizontal="center" vertical="center"/>
    </xf>
    <xf numFmtId="0" fontId="2" fillId="0" borderId="11" xfId="2" applyFont="1" applyBorder="1" applyAlignment="1">
      <alignment horizontal="center" vertical="center" wrapText="1"/>
    </xf>
    <xf numFmtId="0" fontId="2" fillId="0" borderId="0" xfId="2" applyFont="1" applyAlignment="1">
      <alignment horizontal="center" vertical="center" wrapText="1"/>
    </xf>
    <xf numFmtId="0" fontId="2" fillId="0" borderId="12" xfId="2" applyFont="1" applyBorder="1" applyAlignment="1">
      <alignment horizontal="center" vertical="center" wrapText="1"/>
    </xf>
    <xf numFmtId="49" fontId="11" fillId="0" borderId="3" xfId="2" applyNumberFormat="1" applyFont="1" applyBorder="1" applyAlignment="1">
      <alignment horizontal="center" vertical="center" wrapText="1"/>
    </xf>
    <xf numFmtId="49" fontId="3" fillId="0" borderId="3" xfId="2" applyNumberFormat="1" applyFont="1" applyBorder="1" applyAlignment="1">
      <alignment horizontal="center" vertical="center"/>
    </xf>
    <xf numFmtId="0" fontId="11" fillId="0" borderId="3" xfId="2" applyFont="1" applyBorder="1" applyAlignment="1">
      <alignment horizontal="center" wrapText="1"/>
    </xf>
    <xf numFmtId="0" fontId="11" fillId="0" borderId="3" xfId="2" applyFont="1" applyBorder="1" applyAlignment="1">
      <alignment horizontal="center" vertical="center"/>
    </xf>
    <xf numFmtId="49" fontId="13" fillId="0" borderId="3" xfId="2" applyNumberFormat="1" applyFont="1" applyBorder="1" applyAlignment="1">
      <alignment horizontal="center" vertical="center" wrapText="1"/>
    </xf>
    <xf numFmtId="0" fontId="11" fillId="0" borderId="5" xfId="3" applyFont="1" applyBorder="1" applyAlignment="1">
      <alignment horizontal="center"/>
    </xf>
    <xf numFmtId="0" fontId="24" fillId="0" borderId="5" xfId="3" applyFont="1" applyBorder="1" applyAlignment="1">
      <alignment horizontal="center"/>
    </xf>
    <xf numFmtId="0" fontId="12" fillId="0" borderId="5" xfId="3" applyFont="1" applyBorder="1" applyAlignment="1">
      <alignment horizontal="center"/>
    </xf>
    <xf numFmtId="49" fontId="11" fillId="0" borderId="5" xfId="2" applyNumberFormat="1" applyFont="1" applyBorder="1" applyAlignment="1">
      <alignment horizontal="center" vertical="center" wrapText="1"/>
    </xf>
    <xf numFmtId="49" fontId="3" fillId="0" borderId="3" xfId="2" applyNumberFormat="1" applyFont="1" applyBorder="1" applyAlignment="1">
      <alignment horizontal="center" vertical="center" wrapText="1"/>
    </xf>
    <xf numFmtId="49" fontId="3" fillId="0" borderId="8" xfId="2" applyNumberFormat="1" applyFont="1" applyBorder="1" applyAlignment="1">
      <alignment horizontal="center" vertical="center"/>
    </xf>
    <xf numFmtId="49" fontId="3" fillId="0" borderId="6" xfId="2" applyNumberFormat="1" applyFont="1" applyBorder="1" applyAlignment="1">
      <alignment horizontal="center" vertical="center"/>
    </xf>
    <xf numFmtId="49" fontId="3" fillId="0" borderId="9" xfId="2" applyNumberFormat="1" applyFont="1" applyBorder="1" applyAlignment="1">
      <alignment horizontal="center" vertical="center"/>
    </xf>
    <xf numFmtId="49" fontId="3" fillId="0" borderId="8" xfId="2" applyNumberFormat="1" applyFont="1" applyBorder="1" applyAlignment="1">
      <alignment horizontal="center" vertical="center" wrapText="1"/>
    </xf>
    <xf numFmtId="49" fontId="3" fillId="0" borderId="6" xfId="2" applyNumberFormat="1" applyFont="1" applyBorder="1" applyAlignment="1">
      <alignment horizontal="center" vertical="center" wrapText="1"/>
    </xf>
    <xf numFmtId="49" fontId="3" fillId="0" borderId="9" xfId="2" applyNumberFormat="1" applyFont="1" applyBorder="1" applyAlignment="1">
      <alignment horizontal="center" vertical="center" wrapText="1"/>
    </xf>
    <xf numFmtId="0" fontId="3" fillId="0" borderId="8" xfId="2" applyFont="1" applyBorder="1" applyAlignment="1">
      <alignment horizontal="center" vertical="center" wrapText="1"/>
    </xf>
    <xf numFmtId="0" fontId="3" fillId="0" borderId="6" xfId="2" applyFont="1" applyBorder="1" applyAlignment="1">
      <alignment horizontal="center" vertical="center" wrapText="1"/>
    </xf>
    <xf numFmtId="0" fontId="3" fillId="0" borderId="9" xfId="2" applyFont="1" applyBorder="1" applyAlignment="1">
      <alignment horizontal="center" vertical="center" wrapText="1"/>
    </xf>
    <xf numFmtId="0" fontId="3" fillId="0" borderId="8" xfId="2" applyFont="1" applyBorder="1" applyAlignment="1">
      <alignment horizontal="center" vertical="center"/>
    </xf>
    <xf numFmtId="0" fontId="3" fillId="0" borderId="6" xfId="2" applyFont="1" applyBorder="1" applyAlignment="1">
      <alignment horizontal="center" vertical="center"/>
    </xf>
    <xf numFmtId="0" fontId="3" fillId="0" borderId="9" xfId="2" applyFont="1" applyBorder="1" applyAlignment="1">
      <alignment horizontal="center" vertical="center"/>
    </xf>
    <xf numFmtId="49" fontId="15" fillId="0" borderId="7" xfId="2" applyNumberFormat="1" applyFont="1" applyBorder="1" applyAlignment="1">
      <alignment horizontal="center"/>
    </xf>
    <xf numFmtId="49" fontId="11" fillId="0" borderId="5" xfId="2" applyNumberFormat="1" applyFont="1" applyBorder="1" applyAlignment="1">
      <alignment horizontal="center"/>
    </xf>
    <xf numFmtId="0" fontId="11" fillId="0" borderId="5" xfId="2" applyFont="1" applyBorder="1" applyAlignment="1">
      <alignment horizontal="center"/>
    </xf>
    <xf numFmtId="49" fontId="18" fillId="0" borderId="7" xfId="2" applyNumberFormat="1" applyFont="1" applyBorder="1" applyAlignment="1">
      <alignment horizontal="center" vertical="top" wrapText="1"/>
    </xf>
    <xf numFmtId="49" fontId="18" fillId="0" borderId="0" xfId="2" applyNumberFormat="1" applyFont="1" applyAlignment="1">
      <alignment horizontal="center" vertical="top" wrapText="1"/>
    </xf>
    <xf numFmtId="49" fontId="22" fillId="0" borderId="0" xfId="2" applyNumberFormat="1" applyFont="1" applyAlignment="1">
      <alignment horizontal="center" vertical="top" wrapText="1"/>
    </xf>
    <xf numFmtId="49" fontId="23" fillId="0" borderId="0" xfId="2" applyNumberFormat="1" applyFont="1" applyAlignment="1">
      <alignment horizontal="center" vertical="top" wrapText="1"/>
    </xf>
    <xf numFmtId="0" fontId="13" fillId="0" borderId="0" xfId="2" applyFont="1" applyAlignment="1">
      <alignment horizontal="center" vertical="center"/>
    </xf>
    <xf numFmtId="0" fontId="13" fillId="0" borderId="0" xfId="2" applyFont="1" applyAlignment="1">
      <alignment horizontal="center" vertical="center" wrapText="1"/>
    </xf>
    <xf numFmtId="49" fontId="11" fillId="0" borderId="0" xfId="2" applyNumberFormat="1" applyFont="1" applyAlignment="1">
      <alignment horizontal="left" wrapText="1"/>
    </xf>
    <xf numFmtId="49" fontId="12" fillId="0" borderId="5" xfId="2" applyNumberFormat="1" applyFont="1" applyBorder="1" applyAlignment="1">
      <alignment horizontal="center"/>
    </xf>
    <xf numFmtId="49" fontId="11" fillId="0" borderId="5" xfId="2" applyNumberFormat="1" applyFont="1" applyBorder="1" applyAlignment="1">
      <alignment horizontal="center" wrapText="1"/>
    </xf>
    <xf numFmtId="49" fontId="15" fillId="0" borderId="0" xfId="2" applyNumberFormat="1" applyFont="1" applyAlignment="1">
      <alignment horizontal="center" vertical="top" wrapText="1"/>
    </xf>
    <xf numFmtId="49" fontId="14" fillId="0" borderId="5" xfId="2" applyNumberFormat="1" applyFont="1" applyBorder="1" applyAlignment="1">
      <alignment horizontal="center" vertical="center"/>
    </xf>
    <xf numFmtId="49" fontId="15" fillId="0" borderId="7" xfId="2" applyNumberFormat="1" applyFont="1" applyBorder="1" applyAlignment="1">
      <alignment horizontal="center" wrapText="1"/>
    </xf>
    <xf numFmtId="49" fontId="15" fillId="0" borderId="0" xfId="2" applyNumberFormat="1" applyFont="1" applyAlignment="1">
      <alignment horizontal="center" wrapText="1"/>
    </xf>
    <xf numFmtId="49" fontId="15" fillId="0" borderId="0" xfId="2" applyNumberFormat="1" applyFont="1" applyAlignment="1">
      <alignment horizontal="center"/>
    </xf>
    <xf numFmtId="49" fontId="14" fillId="0" borderId="3" xfId="2" applyNumberFormat="1" applyFont="1" applyBorder="1" applyAlignment="1">
      <alignment horizontal="center" vertical="center"/>
    </xf>
    <xf numFmtId="0" fontId="11" fillId="0" borderId="3" xfId="2" applyFont="1" applyBorder="1" applyAlignment="1">
      <alignment horizontal="center"/>
    </xf>
    <xf numFmtId="49" fontId="13" fillId="0" borderId="3" xfId="2" applyNumberFormat="1" applyFont="1" applyBorder="1" applyAlignment="1">
      <alignment horizontal="center" vertical="center"/>
    </xf>
    <xf numFmtId="0" fontId="13" fillId="0" borderId="8" xfId="2" applyFont="1" applyBorder="1" applyAlignment="1">
      <alignment horizontal="center" vertical="center" wrapText="1"/>
    </xf>
    <xf numFmtId="0" fontId="13" fillId="0" borderId="6" xfId="2" applyFont="1" applyBorder="1" applyAlignment="1">
      <alignment horizontal="center" vertical="center"/>
    </xf>
    <xf numFmtId="0" fontId="13" fillId="0" borderId="9" xfId="2" applyFont="1" applyBorder="1" applyAlignment="1">
      <alignment horizontal="center" vertical="center"/>
    </xf>
    <xf numFmtId="0" fontId="13" fillId="0" borderId="6" xfId="2" applyFont="1" applyBorder="1" applyAlignment="1">
      <alignment horizontal="center" vertical="center" wrapText="1"/>
    </xf>
    <xf numFmtId="0" fontId="13" fillId="0" borderId="9" xfId="2" applyFont="1" applyBorder="1" applyAlignment="1">
      <alignment horizontal="center" vertical="center" wrapText="1"/>
    </xf>
    <xf numFmtId="49" fontId="11" fillId="0" borderId="0" xfId="2" applyNumberFormat="1" applyFont="1" applyAlignment="1">
      <alignment horizontal="center" wrapText="1"/>
    </xf>
    <xf numFmtId="49" fontId="15" fillId="0" borderId="0" xfId="2" applyNumberFormat="1" applyFont="1" applyAlignment="1">
      <alignment horizontal="center" vertical="center" wrapText="1"/>
    </xf>
    <xf numFmtId="49" fontId="15" fillId="0" borderId="7" xfId="2" applyNumberFormat="1" applyFont="1" applyBorder="1" applyAlignment="1">
      <alignment horizontal="center" vertical="center" wrapText="1"/>
    </xf>
    <xf numFmtId="49" fontId="11" fillId="0" borderId="0" xfId="2" applyNumberFormat="1" applyFont="1" applyAlignment="1">
      <alignment horizontal="center" vertical="top" wrapText="1"/>
    </xf>
    <xf numFmtId="0" fontId="19" fillId="0" borderId="0" xfId="2" applyFont="1" applyAlignment="1">
      <alignment horizontal="justify" vertical="center" wrapText="1"/>
    </xf>
    <xf numFmtId="49" fontId="11" fillId="0" borderId="5" xfId="2" applyNumberFormat="1" applyFont="1" applyBorder="1" applyAlignment="1">
      <alignment horizontal="center" vertical="center"/>
    </xf>
    <xf numFmtId="49" fontId="15" fillId="0" borderId="0" xfId="2" applyNumberFormat="1" applyFont="1" applyAlignment="1">
      <alignment horizontal="center" vertical="center"/>
    </xf>
    <xf numFmtId="49" fontId="11" fillId="0" borderId="0" xfId="2" applyNumberFormat="1" applyFont="1" applyAlignment="1">
      <alignment horizontal="center" vertical="center" wrapText="1"/>
    </xf>
    <xf numFmtId="49" fontId="18" fillId="0" borderId="0" xfId="2" applyNumberFormat="1" applyFont="1" applyAlignment="1">
      <alignment horizontal="center" wrapText="1"/>
    </xf>
    <xf numFmtId="49" fontId="18" fillId="0" borderId="0" xfId="2" applyNumberFormat="1" applyFont="1" applyAlignment="1">
      <alignment horizontal="center"/>
    </xf>
    <xf numFmtId="49" fontId="11" fillId="0" borderId="0" xfId="2" applyNumberFormat="1" applyFont="1" applyAlignment="1">
      <alignment horizontal="left" vertical="center" wrapText="1"/>
    </xf>
    <xf numFmtId="49" fontId="11" fillId="0" borderId="0" xfId="3" applyNumberFormat="1" applyFont="1" applyAlignment="1">
      <alignment horizontal="center" vertical="center"/>
    </xf>
    <xf numFmtId="49" fontId="14" fillId="0" borderId="5" xfId="2" applyNumberFormat="1" applyFont="1" applyBorder="1" applyAlignment="1">
      <alignment horizontal="center" vertical="center" wrapText="1"/>
    </xf>
    <xf numFmtId="49" fontId="14" fillId="0" borderId="5" xfId="2" applyNumberFormat="1" applyFont="1" applyBorder="1" applyAlignment="1">
      <alignment horizontal="center"/>
    </xf>
    <xf numFmtId="49" fontId="17" fillId="2" borderId="6" xfId="2" applyNumberFormat="1" applyFont="1" applyFill="1" applyBorder="1" applyAlignment="1">
      <alignment horizontal="center"/>
    </xf>
    <xf numFmtId="49" fontId="2" fillId="0" borderId="0" xfId="2" applyNumberFormat="1" applyFont="1" applyAlignment="1">
      <alignment horizontal="center"/>
    </xf>
    <xf numFmtId="0" fontId="10" fillId="0" borderId="5" xfId="2" applyFont="1" applyBorder="1" applyAlignment="1">
      <alignment horizontal="center"/>
    </xf>
    <xf numFmtId="49" fontId="11" fillId="0" borderId="0" xfId="2" applyNumberFormat="1" applyFont="1" applyAlignment="1">
      <alignment horizontal="center"/>
    </xf>
    <xf numFmtId="0" fontId="2" fillId="0" borderId="0" xfId="2" applyFont="1" applyAlignment="1">
      <alignment horizontal="center"/>
    </xf>
    <xf numFmtId="49" fontId="12" fillId="0" borderId="0" xfId="2" applyNumberFormat="1" applyFont="1" applyAlignment="1">
      <alignment horizontal="center" vertical="center" wrapText="1"/>
    </xf>
    <xf numFmtId="49" fontId="11" fillId="0" borderId="0" xfId="2" applyNumberFormat="1" applyFont="1" applyAlignment="1">
      <alignment horizontal="center" vertical="center"/>
    </xf>
    <xf numFmtId="49" fontId="11" fillId="0" borderId="0" xfId="1" applyNumberFormat="1" applyFont="1" applyAlignment="1">
      <alignment horizontal="center" vertical="center" wrapText="1"/>
    </xf>
    <xf numFmtId="49" fontId="2" fillId="0" borderId="0" xfId="1" applyNumberFormat="1" applyFont="1" applyAlignment="1">
      <alignment horizontal="center"/>
    </xf>
    <xf numFmtId="0" fontId="2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2" fillId="0" borderId="0" xfId="2" applyFont="1" applyAlignment="1">
      <alignment horizontal="center" vertical="center" wrapText="1"/>
    </xf>
    <xf numFmtId="0" fontId="12" fillId="0" borderId="0" xfId="2" applyFont="1" applyAlignment="1">
      <alignment horizontal="center" vertical="center"/>
    </xf>
    <xf numFmtId="0" fontId="9" fillId="0" borderId="15" xfId="2" applyBorder="1" applyAlignment="1">
      <alignment horizontal="center"/>
    </xf>
    <xf numFmtId="0" fontId="9" fillId="0" borderId="5" xfId="2" applyBorder="1" applyAlignment="1">
      <alignment horizontal="center"/>
    </xf>
    <xf numFmtId="0" fontId="9" fillId="0" borderId="16" xfId="2" applyBorder="1" applyAlignment="1">
      <alignment horizontal="center"/>
    </xf>
    <xf numFmtId="0" fontId="26" fillId="0" borderId="11" xfId="2" applyFont="1" applyBorder="1" applyAlignment="1">
      <alignment horizontal="center"/>
    </xf>
    <xf numFmtId="0" fontId="26" fillId="0" borderId="0" xfId="2" applyFont="1" applyAlignment="1">
      <alignment horizontal="center"/>
    </xf>
    <xf numFmtId="0" fontId="26" fillId="0" borderId="12" xfId="2" applyFont="1" applyBorder="1" applyAlignment="1">
      <alignment horizontal="center"/>
    </xf>
    <xf numFmtId="0" fontId="26" fillId="0" borderId="13" xfId="2" applyFont="1" applyBorder="1" applyAlignment="1">
      <alignment horizontal="center"/>
    </xf>
    <xf numFmtId="0" fontId="26" fillId="0" borderId="1" xfId="2" applyFont="1" applyBorder="1" applyAlignment="1">
      <alignment horizontal="center"/>
    </xf>
    <xf numFmtId="0" fontId="26" fillId="0" borderId="14" xfId="2" applyFont="1" applyBorder="1" applyAlignment="1">
      <alignment horizontal="center"/>
    </xf>
    <xf numFmtId="0" fontId="0" fillId="0" borderId="22" xfId="0" applyBorder="1"/>
    <xf numFmtId="0" fontId="0" fillId="0" borderId="22" xfId="0" applyBorder="1" applyAlignment="1">
      <alignment wrapText="1"/>
    </xf>
  </cellXfs>
  <cellStyles count="4">
    <cellStyle name="Обычный" xfId="0" builtinId="0"/>
    <cellStyle name="Обычный 2" xfId="1" xr:uid="{00000000-0005-0000-0000-000001000000}"/>
    <cellStyle name="Обычный 3" xfId="2" xr:uid="{00000000-0005-0000-0000-000002000000}"/>
    <cellStyle name="Обычный_Пример акта" xfId="3" xr:uid="{00000000-0005-0000-0000-000003000000}"/>
  </cellStyles>
  <dxfs count="35"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vertical="top"/>
    </dxf>
    <dxf>
      <alignment vertical="top"/>
    </dxf>
    <dxf>
      <alignment vertical="top"/>
    </dxf>
    <dxf>
      <alignment wrapText="1"/>
    </dxf>
    <dxf>
      <alignment vertical="top"/>
    </dxf>
    <dxf>
      <alignment wrapText="1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wrapText="1"/>
    </dxf>
    <dxf>
      <alignment vertical="top"/>
    </dxf>
    <dxf>
      <alignment wrapText="1"/>
    </dxf>
    <dxf>
      <alignment vertical="top"/>
    </dxf>
    <dxf>
      <alignment vertical="top"/>
    </dxf>
    <dxf>
      <alignment vertical="top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border outline="0">
        <top style="medium">
          <color indexed="64"/>
        </top>
      </border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colors>
    <mruColors>
      <color rgb="FF00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11/relationships/timelineCache" Target="timelineCaches/timelineCache1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7/relationships/slicerCache" Target="slicerCaches/slicerCache1.xml"/><Relationship Id="rId22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215347</xdr:colOff>
      <xdr:row>4</xdr:row>
      <xdr:rowOff>132521</xdr:rowOff>
    </xdr:from>
    <xdr:to>
      <xdr:col>5</xdr:col>
      <xdr:colOff>303694</xdr:colOff>
      <xdr:row>6</xdr:row>
      <xdr:rowOff>74415</xdr:rowOff>
    </xdr:to>
    <xdr:sp macro="[0]!ОбновитьЖурналы" textlink="">
      <xdr:nvSpPr>
        <xdr:cNvPr id="4" name="Прямоугольник: скругленные углы 3">
          <a:extLst>
            <a:ext uri="{FF2B5EF4-FFF2-40B4-BE49-F238E27FC236}">
              <a16:creationId xmlns:a16="http://schemas.microsoft.com/office/drawing/2014/main" id="{2DF0C488-94CF-2F7C-5913-BC51A523ABCF}"/>
            </a:ext>
          </a:extLst>
        </xdr:cNvPr>
        <xdr:cNvSpPr/>
      </xdr:nvSpPr>
      <xdr:spPr>
        <a:xfrm>
          <a:off x="3208130" y="1043608"/>
          <a:ext cx="1910521" cy="306329"/>
        </a:xfrm>
        <a:prstGeom prst="roundRect">
          <a:avLst>
            <a:gd name="adj" fmla="val 8137"/>
          </a:avLst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Обновить список файлов</a:t>
          </a:r>
          <a:endParaRPr lang="ru-RU">
            <a:solidFill>
              <a:sysClr val="windowText" lastClr="000000"/>
            </a:solidFill>
            <a:effectLst/>
          </a:endParaRPr>
        </a:p>
      </xdr:txBody>
    </xdr:sp>
    <xdr:clientData/>
  </xdr:twoCellAnchor>
  <xdr:twoCellAnchor>
    <xdr:from>
      <xdr:col>5</xdr:col>
      <xdr:colOff>552173</xdr:colOff>
      <xdr:row>4</xdr:row>
      <xdr:rowOff>132521</xdr:rowOff>
    </xdr:from>
    <xdr:to>
      <xdr:col>8</xdr:col>
      <xdr:colOff>11043</xdr:colOff>
      <xdr:row>6</xdr:row>
      <xdr:rowOff>74415</xdr:rowOff>
    </xdr:to>
    <xdr:sp macro="[0]!СохранитьPDF" textlink="">
      <xdr:nvSpPr>
        <xdr:cNvPr id="2" name="Прямоугольник: скругленные углы 1">
          <a:extLst>
            <a:ext uri="{FF2B5EF4-FFF2-40B4-BE49-F238E27FC236}">
              <a16:creationId xmlns:a16="http://schemas.microsoft.com/office/drawing/2014/main" id="{F68E1670-4987-747F-6408-49838FCF5376}"/>
            </a:ext>
          </a:extLst>
        </xdr:cNvPr>
        <xdr:cNvSpPr/>
      </xdr:nvSpPr>
      <xdr:spPr>
        <a:xfrm>
          <a:off x="5726043" y="1060173"/>
          <a:ext cx="2330174" cy="306329"/>
        </a:xfrm>
        <a:prstGeom prst="roundRect">
          <a:avLst>
            <a:gd name="adj" fmla="val 8137"/>
          </a:avLst>
        </a:prstGeom>
        <a:solidFill>
          <a:srgbClr val="1E68F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b="1">
              <a:effectLst/>
            </a:rPr>
            <a:t>Сохранить журнал</a:t>
          </a:r>
          <a:r>
            <a:rPr lang="ru-RU" b="1" baseline="0">
              <a:effectLst/>
            </a:rPr>
            <a:t> в </a:t>
          </a:r>
          <a:r>
            <a:rPr lang="en-US" b="1" baseline="0">
              <a:effectLst/>
            </a:rPr>
            <a:t>PDF</a:t>
          </a:r>
          <a:endParaRPr lang="ru-RU" b="1">
            <a:effectLst/>
          </a:endParaRPr>
        </a:p>
      </xdr:txBody>
    </xdr:sp>
    <xdr:clientData/>
  </xdr:twoCellAnchor>
  <xdr:twoCellAnchor editAs="oneCell">
    <xdr:from>
      <xdr:col>0</xdr:col>
      <xdr:colOff>386522</xdr:colOff>
      <xdr:row>1</xdr:row>
      <xdr:rowOff>3591</xdr:rowOff>
    </xdr:from>
    <xdr:to>
      <xdr:col>0</xdr:col>
      <xdr:colOff>588700</xdr:colOff>
      <xdr:row>2</xdr:row>
      <xdr:rowOff>5521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E6797DB4-2B85-4707-998A-6E5084FC50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522" y="114026"/>
          <a:ext cx="202178" cy="222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197598</xdr:colOff>
      <xdr:row>0</xdr:row>
      <xdr:rowOff>166221</xdr:rowOff>
    </xdr:from>
    <xdr:to>
      <xdr:col>5</xdr:col>
      <xdr:colOff>387500</xdr:colOff>
      <xdr:row>1</xdr:row>
      <xdr:rowOff>250300</xdr:rowOff>
    </xdr:to>
    <xdr:sp macro="[0]!Обновить" textlink="">
      <xdr:nvSpPr>
        <xdr:cNvPr id="3" name="Прямоугольник: скругленные углы 2">
          <a:extLst>
            <a:ext uri="{FF2B5EF4-FFF2-40B4-BE49-F238E27FC236}">
              <a16:creationId xmlns:a16="http://schemas.microsoft.com/office/drawing/2014/main" id="{0E0566B0-C153-40F4-88D6-5720150A4018}"/>
            </a:ext>
          </a:extLst>
        </xdr:cNvPr>
        <xdr:cNvSpPr/>
      </xdr:nvSpPr>
      <xdr:spPr>
        <a:xfrm>
          <a:off x="7656607" y="166221"/>
          <a:ext cx="1979705" cy="308197"/>
        </a:xfrm>
        <a:prstGeom prst="roundRect">
          <a:avLst>
            <a:gd name="adj" fmla="val 8137"/>
          </a:avLst>
        </a:prstGeom>
        <a:solidFill>
          <a:srgbClr val="1E68F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Обновить журнал</a:t>
          </a:r>
          <a:endParaRPr lang="ru-RU">
            <a:effectLst/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0</xdr:colOff>
      <xdr:row>0</xdr:row>
      <xdr:rowOff>0</xdr:rowOff>
    </xdr:from>
    <xdr:to>
      <xdr:col>11</xdr:col>
      <xdr:colOff>285750</xdr:colOff>
      <xdr:row>2</xdr:row>
      <xdr:rowOff>74748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2" name="Даты работ">
              <a:extLst>
                <a:ext uri="{FF2B5EF4-FFF2-40B4-BE49-F238E27FC236}">
                  <a16:creationId xmlns:a16="http://schemas.microsoft.com/office/drawing/2014/main" id="{E004E861-1AF6-A978-6757-7332C058651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Даты работ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18650" y="0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Временная шкала: работает в Excel 2013 и более поздних версиях. Не перемещайте ее и не изменяйте ее размер.</a:t>
              </a:r>
            </a:p>
          </xdr:txBody>
        </xdr:sp>
      </mc:Fallback>
    </mc:AlternateContent>
    <xdr:clientData fPrintsWithSheet="0"/>
  </xdr:twoCellAnchor>
  <xdr:twoCellAnchor editAs="absolute">
    <xdr:from>
      <xdr:col>11</xdr:col>
      <xdr:colOff>342900</xdr:colOff>
      <xdr:row>0</xdr:row>
      <xdr:rowOff>0</xdr:rowOff>
    </xdr:from>
    <xdr:to>
      <xdr:col>16</xdr:col>
      <xdr:colOff>336550</xdr:colOff>
      <xdr:row>3</xdr:row>
      <xdr:rowOff>490673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Имя файла">
              <a:extLst>
                <a:ext uri="{FF2B5EF4-FFF2-40B4-BE49-F238E27FC236}">
                  <a16:creationId xmlns:a16="http://schemas.microsoft.com/office/drawing/2014/main" id="{03F5EE2C-4B15-6A5A-9B4F-D04B06AAD82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Имя файла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909550" y="0"/>
              <a:ext cx="304165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2887755</xdr:colOff>
      <xdr:row>0</xdr:row>
      <xdr:rowOff>129615</xdr:rowOff>
    </xdr:from>
    <xdr:to>
      <xdr:col>2</xdr:col>
      <xdr:colOff>4368800</xdr:colOff>
      <xdr:row>2</xdr:row>
      <xdr:rowOff>25062</xdr:rowOff>
    </xdr:to>
    <xdr:sp macro="[0]!Обновить" textlink="">
      <xdr:nvSpPr>
        <xdr:cNvPr id="3" name="Прямоугольник: скругленные углы 2">
          <a:extLst>
            <a:ext uri="{FF2B5EF4-FFF2-40B4-BE49-F238E27FC236}">
              <a16:creationId xmlns:a16="http://schemas.microsoft.com/office/drawing/2014/main" id="{63F08E0A-3CDB-4D0B-9879-A6480B8DEABD}"/>
            </a:ext>
          </a:extLst>
        </xdr:cNvPr>
        <xdr:cNvSpPr/>
      </xdr:nvSpPr>
      <xdr:spPr>
        <a:xfrm>
          <a:off x="7059705" y="129615"/>
          <a:ext cx="1481045" cy="301847"/>
        </a:xfrm>
        <a:prstGeom prst="roundRect">
          <a:avLst>
            <a:gd name="adj" fmla="val 8137"/>
          </a:avLst>
        </a:prstGeom>
        <a:solidFill>
          <a:srgbClr val="1E68F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Обновить журнал</a:t>
          </a:r>
          <a:endParaRPr lang="ru-RU">
            <a:effectLst/>
          </a:endParaRPr>
        </a:p>
      </xdr:txBody>
    </xdr:sp>
    <xdr:clientData fPrintsWithSheet="0"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Дмитрий Волобуев" refreshedDate="46015.436750000001" backgroundQuery="1" createdVersion="8" refreshedVersion="8" minRefreshableVersion="3" recordCount="63" xr:uid="{00000000-000A-0000-FFFF-FFFF0A000000}">
  <cacheSource type="external" connectionId="12"/>
  <cacheFields count="21">
    <cacheField name="Имя файла" numFmtId="0">
      <sharedItems count="27">
        <s v="Автогенератор ИД 5_25.12.16.xlsm"/>
        <s v="Автогенератор ИД 5_25.12.16_full.xlsm"/>
        <s v="Автогенератор ИД 5_25.12.21_full.xlsm"/>
        <s v="2. Автогенератор ИД 5.25.10.8 КР.xlsm" u="1"/>
        <s v="4. Автогенератор ИД 5.25.10.8 ВК.xlsm" u="1"/>
        <s v="АПС.xlsm" u="1"/>
        <s v="Внутренние отделочные работы.xlsm" u="1"/>
        <s v="Закрпеление грунтов.xlsm" u="1"/>
        <s v="Крыльца.xlsm" u="1"/>
        <s v="Нар ЭС.xlsm" u="1"/>
        <s v="НВК.xlsm" u="1"/>
        <s v="ОВК.xlsm" u="1"/>
        <s v="Освещение.xlsm" u="1"/>
        <s v="Покрытия.xlsm" u="1"/>
        <s v="Полы.xlsm" u="1"/>
        <s v="СКС.xlsm" u="1"/>
        <s v="Тепло нар.xlsm" u="1"/>
        <s v="КАЗ мягк кр уг уч 14,06.xlsm" u="1"/>
        <s v="КАЗ_Адм.xlsm" u="1"/>
        <s v="КАЗ_Башня.xlsm" u="1"/>
        <s v="КАЗ_Навес-козырек.xlsm" u="1"/>
        <s v="КАЗ_Пищеблок,мякг.кр,переход.xlsm" u="1"/>
        <s v="КАЗ_Пристройка.xlsm" u="1"/>
        <s v="Автогенератор ИД 5.3.1_АОРПИ_2-17-02.xlsm" u="1"/>
        <s v="Автогенератор ИД 5.3.1_АОРПИ.xlsm" u="1"/>
        <s v="Автогенератор НР-01_6_1_ред1_1.xlsm" u="1"/>
        <s v="Автогенератор ИД 5.3.1_АОРПИ_2.xlsm" u="1"/>
      </sharedItems>
    </cacheField>
    <cacheField name="id" numFmtId="0">
      <sharedItems containsSemiMixedTypes="0" containsString="0" containsNumber="1" containsInteger="1" minValue="1" maxValue="4" count="4">
        <n v="1"/>
        <n v="2"/>
        <n v="3"/>
        <n v="4"/>
      </sharedItems>
    </cacheField>
    <cacheField name="Наименование работ" numFmtId="0">
      <sharedItems count="2">
        <s v="Армирование вертикальных конструкций с опалубкой"/>
        <s v="Бетонирование вертикальных конструкций"/>
      </sharedItems>
    </cacheField>
    <cacheField name="Условия производства работ" numFmtId="0">
      <sharedItems containsBlank="1" count="156">
        <m/>
        <s v="п. 30-38" u="1"/>
        <s v="п. 39-41" u="1"/>
        <s v="п. 85-92" u="1"/>
        <s v="п. 93-94" u="1"/>
        <s v="п. 1-2" u="1"/>
        <s v="п.3" u="1"/>
        <s v="п. 4-10" u="1"/>
        <s v="п.11-13" u="1"/>
        <s v="п. 14-22" u="1"/>
        <s v="п. 23-24" u="1"/>
        <s v="п. 25-32" u="1"/>
        <s v="п. 33-37" u="1"/>
        <s v="п. 38-41" u="1"/>
        <s v="п. 42-44" u="1"/>
        <s v="п. 45-48" u="1"/>
        <s v="п. 49-50" u="1"/>
        <s v="п. 51-53" u="1"/>
        <s v="п. 54-57" u="1"/>
        <s v="п. 58-65" u="1"/>
        <s v="п. 66-67" u="1"/>
        <s v="п. 68-69" u="1"/>
        <s v="п. 70-72" u="1"/>
        <s v="п. 73-78" u="1"/>
        <s v="п. 79-86" u="1"/>
        <s v="п. 87-89" u="1"/>
        <s v="п. 1-3" u="1"/>
        <s v="п. 4-7" u="1"/>
        <s v="п. 8-12" u="1"/>
        <s v="п. 13-15" u="1"/>
        <s v="п. 16-17" u="1"/>
        <s v="п. 18-21" u="1"/>
        <s v="п. 22-23" u="1"/>
        <s v="п. 24-27" u="1"/>
        <s v="п. 28-29" u="1"/>
        <s v="п. 30-31" u="1"/>
        <s v="п. 32-35" u="1"/>
        <s v="п. 36-40" u="1"/>
        <s v="п. 41-44" u="1"/>
        <s v="п. 45-46" u="1"/>
        <s v="п. 47-57" u="1"/>
        <s v="п. 58-66" u="1"/>
        <s v="п.67-71" u="1"/>
        <s v="п. 72-75" u="1"/>
        <s v="п. 76-79" u="1"/>
        <s v="п. 80-81" u="1"/>
        <s v="п. 82-86" u="1"/>
        <s v="п. 87-91" u="1"/>
        <s v="п. 92-94" u="1"/>
        <s v="п.95-96" u="1"/>
        <s v="п.97-101" u="1"/>
        <s v="п. 102-105" u="1"/>
        <s v="п. 106-109" u="1"/>
        <s v="п. 110-114" u="1"/>
        <s v="п. 115-116" u="1"/>
        <s v="п. 117-120, 124-128" u="1"/>
        <s v="п. 121-122" u="1"/>
        <s v="п. 123" u="1"/>
        <s v="п.129-134" u="1"/>
        <s v="п. 135-136" u="1"/>
        <s v="п. 137-139" u="1"/>
        <s v="п. 140" u="1"/>
        <s v="п. 141" u="1"/>
        <s v="п. 142-146" u="1"/>
        <s v="п. 147-148" u="1"/>
        <s v="п. 149-152" u="1"/>
        <s v="п. 153-156" u="1"/>
        <s v="п. 157-160, 169-172" u="1"/>
        <s v="п. 175-179" u="1"/>
        <s v="п. 161,173" u="1"/>
        <s v="п. 162,174" u="1"/>
        <s v="п. 163-168" u="1"/>
        <s v="п. 180-183, 192-195" u="1"/>
        <s v="п.196-200" u="1"/>
        <s v="п. 184" u="1"/>
        <s v="п. 185" u="1"/>
        <s v="п. 186" u="1"/>
        <s v="п. 201-202" u="1"/>
        <s v="п. 203-206" u="1"/>
        <s v="п. 211-215" u="1"/>
        <s v="п. 207" u="1"/>
        <s v="п. 208" u="1"/>
        <s v="п. 209-210" u="1"/>
        <s v="п. 216-219, 226-229" u="1"/>
        <s v="п. 232-236" u="1"/>
        <s v="п. 220,230" u="1"/>
        <s v="п. 221, 231" u="1"/>
        <s v="п. 222-225" u="1"/>
        <s v="п. 1" u="1"/>
        <s v="п. 4-5" u="1"/>
        <s v="п. 6-11" u="1"/>
        <s v="п. 12-13" u="1"/>
        <s v="п. 14-15" u="1"/>
        <s v="п. 18" u="1"/>
        <s v="п. 19" u="1"/>
        <s v="п. 20-21" u="1"/>
        <s v="п. 24-29" u="1"/>
        <s v="п. 33-34" u="1"/>
        <s v="п. 35-37" u="1"/>
        <s v="п. 5-7" u="1"/>
        <s v="п. 2" u="1"/>
        <s v="п. 8" u="1"/>
        <s v="п. 9-10" u="1"/>
        <s v="п. 34-41" u="1"/>
        <s v="п. 16-18,25-31" u="1"/>
        <s v="п. 11-12" u="1"/>
        <s v="п. 13" u="1"/>
        <s v="п. 14" u="1"/>
        <s v="п. 15" u="1"/>
        <s v="п. 18-19" u="1"/>
        <s v="п. 32-33" u="1"/>
        <s v="п. 46-48" u="1"/>
        <s v="п. 11-13" u="1"/>
        <s v="п. 1-4,7" u="1"/>
        <s v="п. 5" u="1"/>
        <s v="п. 6,8" u="1"/>
        <s v="п. 15-16" u="1"/>
        <s v="п. 30-40,43-45,58-66,86-91" u="1"/>
        <s v="п. 22-27" u="1"/>
        <s v="п. 52-53" u="1"/>
        <s v="п. 50-51" u="1"/>
        <s v="п. 54-58" u="1"/>
        <s v="п. 84-85" u="1"/>
        <s v="п. 46-49" u="1"/>
        <s v="п. 24-37" u="1"/>
        <s v="п. 38-45" u="1"/>
        <s v="п. 46-55" u="1"/>
        <s v="п. 1-8" u="1"/>
        <s v="п.9-12" u="1"/>
        <s v="п. 13-17" u="1"/>
        <s v="п. 56-57" u="1"/>
        <s v="п. 58-59" u="1"/>
        <s v="п. 60-62" u="1"/>
        <s v="п. 63" u="1"/>
        <s v="п. 64" u="1"/>
        <s v="п. 65-66" u="1"/>
        <s v="п. 74-81" u="1"/>
        <s v="п. 82-85" u="1"/>
        <s v="п. 86-88" u="1"/>
        <s v="п. 89" u="1"/>
        <s v="п. 90" u="1"/>
        <s v="п. 67-71" u="1"/>
        <s v="п. 72-73" u="1"/>
        <s v="п. 167-187" u="1"/>
        <s v="п. 186-187" u="1"/>
        <s v="п. 91-95" u="1"/>
        <s v="п. 96-99" u="1"/>
        <s v="п. 100-103" u="1"/>
        <s v="п. 104-109" u="1"/>
        <s v="п. 110-125" u="1"/>
        <s v="п. 126-141" u="1"/>
        <s v="п. 142-150" u="1"/>
        <s v="п. 151-161" u="1"/>
        <s v="п. 162-166" u="1"/>
        <s v="п. 188-193" u="1"/>
        <s v="п. 194-205" u="1"/>
      </sharedItems>
    </cacheField>
    <cacheField name="Объём" numFmtId="0">
      <sharedItems containsString="0" containsBlank="1" count="1">
        <m/>
      </sharedItems>
    </cacheField>
    <cacheField name="Ед.изм." numFmtId="0">
      <sharedItems containsString="0" containsBlank="1" count="1">
        <m/>
      </sharedItems>
    </cacheField>
    <cacheField name="Уровень1" numFmtId="0">
      <sharedItems containsString="0" containsBlank="1" count="1">
        <m/>
      </sharedItems>
    </cacheField>
    <cacheField name="Уровень2" numFmtId="0">
      <sharedItems containsString="0" containsBlank="1" count="1">
        <m/>
      </sharedItems>
    </cacheField>
    <cacheField name="Уровень3" numFmtId="0">
      <sharedItems containsString="0" containsBlank="1" count="1">
        <m/>
      </sharedItems>
    </cacheField>
    <cacheField name="Отм." numFmtId="0">
      <sharedItems count="2">
        <s v="на отм. -0.100, +4.750"/>
        <s v="на отм. -0.100"/>
      </sharedItems>
    </cacheField>
    <cacheField name="В осях" numFmtId="0">
      <sharedItems count="2">
        <s v="в осях 33-34/А'-Б"/>
        <s v="в осях Г1-Г4/Д1-Д2"/>
      </sharedItems>
    </cacheField>
    <cacheField name="Дата начала" numFmtId="0">
      <sharedItems containsSemiMixedTypes="0" containsDate="1" containsString="0" minDate="2024-03-18T00:00:00" maxDate="2024-04-02T00:00:00" count="4">
        <d v="2024-03-18T00:00:00"/>
        <d v="2024-03-25T00:00:00"/>
        <d v="2024-03-22T00:00:00"/>
        <d v="2024-04-01T00:00:00"/>
      </sharedItems>
    </cacheField>
    <cacheField name="Дата окончания" numFmtId="0">
      <sharedItems containsSemiMixedTypes="0" containsDate="1" containsString="0" minDate="2024-03-25T00:00:00" maxDate="2024-04-02T00:00:00" count="2">
        <d v="2024-03-25T00:00:00"/>
        <d v="2024-04-01T00:00:00"/>
      </sharedItems>
    </cacheField>
    <cacheField name="Генподрядчик" numFmtId="0">
      <sharedItems count="1">
        <s v="[2]_Палкин Николай Петрович"/>
      </sharedItems>
    </cacheField>
    <cacheField name="Объём на день" numFmtId="0">
      <sharedItems containsString="0" containsBlank="1" count="1">
        <m/>
      </sharedItems>
    </cacheField>
    <cacheField name="Автоназвание работ" numFmtId="0">
      <sharedItems count="602" longText="1">
        <s v="Армирование вертикальных конструкций с опалубкой на отм. -0.100, +4.750 в осях 33-34/А'-Б"/>
        <s v="Бетонирование вертикальных конструкций на отм. -0.100, +4.750 в осях 33-34/А'-Б"/>
        <s v="Армирование вертикальных конструкций с опалубкой на отм. -0.100 в осях Г1-Г4/Д1-Д2"/>
        <s v="Бетонирование вертикальных конструкций на отм. -0.100 в осях Г1-Г4/Д1-Д2"/>
        <s v="Усиление конструкций двутавровыми балками 23Б1 (отм. +8,240) А-Я;1/1-18/1" u="1"/>
        <s v="Огрунтовка двутавровых балок  А-Я;1/1-18/1" u="1"/>
        <s v="Окраска двутавровых балок   А-Я;1/1-18/1" u="1"/>
        <s v="Усиление конструкций стальными обоймами И-Р;4/1, У-Е;1/1, В/1-Н;18/1" u="1"/>
        <s v="Огрунтовка стальных обойм И-Р;4/1, У-Е;1/1, В/1-Н;18/1" u="1"/>
        <s v="Окраска стальных обойм И-Р;4/1, У-Е;1/1, В/1-Н;18/1" u="1"/>
        <s v="Устройство посадочных гнезд под опорные конструкции перекрытия А-Я;1/1-18/1" u="1"/>
        <s v="Устройство опорных подушек под конструкции перекрытия А-Я;1/1-18/1" u="1"/>
        <s v="Устройстов металлических опорных конструкций А-Я;1/1-18/1" u="1"/>
        <s v="Устройство бетонных перекрытий (отм. 0,000; +3,300; +9,600) А-Я;1/1-18/1" u="1"/>
        <s v="Кладка перегородок из газобетона (отм. -2,900; 0,000; +3,300; +7,100; +10,450) А-Я;1/1-18/1" u="1"/>
        <s v="Кладка перегородок из кирпича и заделка проемов  (отм. -2,900; 0,000; +3,300; +7,100; +10,450) А-Я;1/1-18/1" u="1"/>
        <s v="Устройство песчанного основания под фундаменты с уплотнением" u="1"/>
        <s v="Устройство гидроизоляции из ПЭ пленки " u="1"/>
        <s v="Устройство железобетонных ленточных фундаментов " u="1"/>
        <s v="Гидроизоляция ленточного фундамента" u="1"/>
        <s v="Кладка кирпичного парапета (отм. +9,650; +10,450) А-Я;1/1-18/1" u="1"/>
        <s v="Усиление конструкций стальными швеллерами на болтовых и сварочных соединениях (отм. 0,000; +3,300) А-Я;1/1-18/1" u="1"/>
        <s v="Усиление дверных проемов стальным уголком (отм. 0,000; +3,300) А-Я;1/1-18/1" u="1"/>
        <s v="Огрунтовка металлических конструкций для усиления проемов (отм. 0,000; +3,300) А-Я;1/1-18/1" u="1"/>
        <s v="Окраска металлических конструкций для усиления проемов  (отм. 0,000; +3,300) А-Я;1/1-18/1" u="1"/>
        <s v="Разработка грунта вручную под устройство приямков (отм. -2,900) А-Я;1/1-18/1" u="1"/>
        <s v="Устройство песчанного основания приямков (отм. -2,900) А-Я;1/1-18/1" u="1"/>
        <s v="Устройство бетонной подготовки приямков (отм. -2,900) А-Я;1/1-18/1" u="1"/>
        <s v="Устройство пароизоляции из ПЭ пленки  (отм. -2,900) А-Я;1/1-18/1" u="1"/>
        <s v="Устройство фундаментных плит приямков (отм. -2,900) А-Я;1/1-18/1" u="1"/>
        <s v="Устройство стен приямков  (отм. -2,900) А-Я;1/1-18/1" u="1"/>
        <s v="Гидроизоляция стен приямков (отм. -2,900)" u="1"/>
        <s v="Засыпка грунта вокруг приямков (отм. -2,900) А-Я;1/1-18/1" u="1"/>
        <s v="Устройство дренажной системы из ПЭ труб (отм. 0,000) А-Я;1/1-18/1" u="1"/>
        <s v="Разработка грунта вручную для усиления фундамента (отм. -2,900) А-Я;1/1-18/1" u="1"/>
        <s v="Усиление фундамента железобетонными обоймами (отм. -2,900) А-Я;1/1-18/1" u="1"/>
        <s v="Гидроизоляция участков усиленного фундамента (отм. -2,900) А-Я;1/1-18/1" u="1"/>
        <s v="Устройство перемычек над дверными и оконными проемами 2-го этажа (отм.+6.900) А-Я;1/1-18/1" u="1"/>
        <s v="Устройство монолитного пояса Пм1 (отм.+7.090) А-Я;1/1-18/1" u="1"/>
        <s v="Монтаж ограждения лестничных проемов ОМ-1 (отм. -2,900; 0,000; +3,300; +7,100; +10,450) А-Я;1/1-18/1" u="1"/>
        <s v="Монтаж ограждения лестничных проемов ОМ-3 (отм. -2,900; 0,000; +3,300; +7,100; +10,450) А-Я;1/1-18/1" u="1"/>
        <s v="Монтаж пожарных ограждений (отм. +10,450) А-Я;1/1-18/1" u="1"/>
        <s v="Монтаж пожарных лестниц А-Я;1/1-18/1" u="1"/>
        <s v="Окраска металлических ограждений (отм. +10,450) А-Я;1/1-18/1" u="1"/>
        <s v="Монтаж пристенных поручней (отм. -2,900; 0,000; +3,300; +7,100; +10,450) А-Я;1/1-18/1" u="1"/>
        <s v="Установка металлических решеток приямков (отм. 0,000) А-Я;1/1-18/1" u="1"/>
        <s v="Устройство сантехнических перегородок А-Я;1/1-18/1" u="1"/>
        <s v="Разборка трубопроводов из стальных труб отм. -2,900; 0,000; +3,900; +7,100; +10,450 1/1-18/1;А-Я 168,94 м" u="1"/>
        <s v="Демонтаж водомерного узла отм. -2,900; 0,000; +3,900; +7,100; +10,450 1/1-18/1;А-Я 0,14 шт" u="1"/>
        <s v="Демонтаж запорной арматуры отм. -2,900; 0,000; +3,900; +7,100; +10,450 1/1-18/1;А-Я 5,14 шт" u="1"/>
        <s v="Демонтыж смесителей с душевой сеткой и без отм. -2,900; 0,000; +3,900; +7,100; +10,450 1/1-18/1;А-Я 13,14 шт" u="1"/>
        <s v="Разборка трубопроводов из стальных труб отм. -2,900; 0,000; +3,900; +7,100; +10,450 1/1-18/1;А-Я 172,26 м" u="1"/>
        <s v="Демонтаж водомерных узлов отм. -2,900; 0,000; +3,900; +7,100; +10,450 1/1-18/1;А-Я 0,29 шт" u="1"/>
        <s v="Разборка трубопроводов из чугунных труб отм. -2,900; 0,000; +3,900; +7,100; +10,450 1/1-18/1;А-Я 83,95" u="1"/>
        <s v="Демонтаж умывальников отм. -2,900; 0,000; +3,900; +7,100; +10,450 1/1-18/1;А-Я 11 шт" u="1"/>
        <s v="Демонтаж унитазов и писсуаров отм. -2,900; 0,000; +3,900; +7,100; +10,450 1/1-18/1;А-Я 8,14 шт" u="1"/>
        <s v="Демонтаж моек отм. -2,900; 0,000; +3,900; +7,100; +10,450 1/1-18/1;А-Я 0,43 шт" u="1"/>
        <s v="Демонтаж водоприемных воронок отм. -2,900; 0,000; +3,900; +7,100; +10,450 1/1-18/1;А-Я 1,43 шт" u="1"/>
        <s v="Демонтаж труб поливинилхлоридных ПВХ с уплотнительными кольцами  отм. -2,900; 0,000; +3,900; +7,100; +10,450 1/1-18/1;А-Я 11,47 м" u="1"/>
        <s v="Демонтаж умывальников отм. -2,900; 0,000; +3,900; +7,100; +10,450 1/1-18/1;А-Я 0,86 шт" u="1"/>
        <s v="Демонтаж моек отм. -2,900; 0,000; +3,900; +7,100; +10,450 1/1-18/1;А-Я 1 шт" u="1"/>
        <s v="Прокладка трубопроводов из стальных оцинкованных труб Ф90мм" u="1"/>
        <s v="Огрунтовка трубопроводов Ф90мм грунтовкой ГФ-021 отм. -2,900; 0,000; +3,900; +7,100; +10,450 1/1-18/1;А-Я" u="1"/>
        <s v="Установка насосной установки повышения давления 1 компл." u="1"/>
        <s v="Окраска трубопроводов Ф90мм эмалью ПФ-115 отм. -2,900; 0,000; +3,900; +7,100; +10,450 1/1-18/1;А-Я" u="1"/>
        <s v="Прокладка трубопроводов питьевого водоснабжения из PP-R труб Ф20…110 мм отм. -2,900; 0,000; +3,900; +7,100; +10,450 1/1-18/1;А-Я" u="1"/>
        <s v="Установка обратных клапанов 19ч16бр Ф50 мм отм. -2,900; 0,000; +3,900; +7,100; +10,450 1/1-18/1;А-Я 0,15 шт" u="1"/>
        <s v="Устройство водомерного узла Ф32 мм 0,06 компл." u="1"/>
        <s v="Установка запорной арматуры водомерного узла Ф65 мм отм. -2,900; 0,000; +3,900; +7,100; +10,450 1/1-18/1;А-Я 0,380 шт" u="1"/>
        <s v="Установка поливочных кранов  отм. -2,900; 0,000; +3,900; +7,100; +10,450 1/1-18/1;А-Я 2,07 шт" u="1"/>
        <s v="Изоляция трубопровода вспененным полиэтиленом &quot;Термофлекс&quot; отм. -2,900; 0,000; +3,900; +7,100; +10,450 1/1-18/1;А-Я" u="1"/>
        <s v="Прокладка трубопроводов ГВС из PP-R труб Ф20…63 мм отм. -2,900; 0,000; +3,900; +7,100; +10,450 1/1-18/1;А-Я" u="1"/>
        <s v="Устройство водомерного узла на фланцевом соединении Ф32 мм 0,15 шт" u="1"/>
        <s v="Устройство водомерного узла на фланцевом соединении Ф20 мм 0,17 шт" u="1"/>
        <s v="Устройство узлов полотенцесушителей  отм. -2,900; 0,000; +3,900; +7,100; +10,450 1/1-18/1;А-Я 5 шт" u="1"/>
        <s v="Прокладка трубопроводов канализации из ПЭ труб Ф50...110 с устройством узлов прочистки отм. -2,900; 0,000; +3,900; +7,100; +10,450 1/1-18/1;А-Я" u="1"/>
        <s v="Установка протифопожарных муфт Ф50...110 отм. -2,900; 0,000; +3,900; +7,100; +10,450 1/1-18/1;А-Я" u="1"/>
        <s v="Устройство узла умывальника отм. -2,900; 0,000; +3,900; +7,100; +10,450 1/1-18/1;А-Я 4,33 шт" u="1"/>
        <s v="Устройство узла унитаза отм. -2,900; 0,000; +3,900; +7,100; +10,450 1/1-18/1;А-Я 3,620 компл." u="1"/>
        <s v="Установка писуаров отм. -2,900; 0,000; +3,900; +7,100; +10,450 1/1-18/1;А-Я 1,29 компл." u="1"/>
        <s v="Установка поддонов отм. -2,900; 0,000; +3,900; +7,100; +10,450 1/1-18/1;А-Я 1,42 компл." u="1"/>
        <s v="Установка смесителей отм. -2,900; 0,000; +3,900; +7,100; +10,450 1/1-18/1;А-Я 1,7 компл." u="1"/>
        <s v="Установка трапов ПЭ отм. -2,900; 0,000; +3,900; +7,100; +10,450 1/1-18/1;А-Я" u="1"/>
        <s v="Установка умывальников  отм. -2,900; 0,000; +3,900; +7,100; +10,450 1/1-18/1;А-Я 0,33 компл." u="1"/>
        <s v="Устройство узла умывальника отм. -2,900; 0,000; +3,900; +7,100; +10,450 1/1-18/1;А-Я 0,33 компл." u="1"/>
        <s v="Установка смесителей отм. -2,900; 0,000; +3,900; +7,100; +10,450 1/1-18/1;А-Я 0,5 компл." u="1"/>
        <s v="Прокладка трубопроводов канализации из PP-R труб Ф50...110 отм. -2,900; 0,000; +3,900; +7,100; +10,450 1/1-18/1;А-Я" u="1"/>
        <s v="[1]_Трубопровод В1" u="1"/>
        <s v="[2]_Трубопровод Т3 Т4" u="1"/>
        <s v="[3]_Трубопровод К1" u="1"/>
        <s v="[4]_Трубопровод К3" u="1"/>
        <s v="[5]_Трубопровод К13Н" u="1"/>
        <s v="Прокладка кабеля и монтаж щитов отм. 0,000 9-10;Р-У 0,18 м" u="1"/>
        <s v="Монтаж выключателя отм. 0,000 9-10;Р-У 0,1 шт" u="1"/>
        <s v="Монтаж пульта контроля и управления С2000-М отм. 0,000 9-10;Р-У 0,1 шт" u="1"/>
        <s v="Монтаж блока индикации С2000-БКИ отм. -2,900; 0,000; +3,900; +7,100; +10,450 1/1-18/1;А-Я 0,7 шт" u="1"/>
        <s v="Монтаж контроллера двухпроводной линии связи С2000-КДЛ-2И отм. -2,900; 0,000; +3,900; +7,100; +10,450 1/1-18/1;А-Я 1,1 шт" u="1"/>
        <s v="Монтаж источника питания РИП-24 исп. 56 отм. 0,000 9-10;Р-У 0,2 шт" u="1"/>
        <s v="Монтаж аккумулятора DTM-1240 отм. 0,000 9-10;Р-У 0,4 шт" u="1"/>
        <s v="Монтаж извещателя пожарного ДИП-34А-04 отм. -2,900; 0,000; +3,900; +7,100; +10,450 1/1-18/1;А-Я 35,1 шт" u="1"/>
        <s v="Монтаж извещателя пожарного ИПР-513-3АМ отм. -2,900; 0,000; +3,900; +7,100; +10,450 1/1-18/1;А-Я 5,4 шт" u="1"/>
        <s v="Монтаж извещателя пожарного С2000-ИПДЛ исп.60 отм. -2,900; 0,000; +3,900; +7,100; +10,450 1/1-18/1;А-Я 0,4 шт" u="1"/>
        <s v="Монтаж преобразовтеля интерфейсов С2000-ПИ отм. 0,000 9-10;Р-У 0,1 шт" u="1"/>
        <s v="Монтаж адресного расширителя С2000-АР1 отм. -2,900; 0,000; +3,900; +7,100; +10,450 1/1-18/1;А-Я 0,4 шт" u="1"/>
        <s v="Монтаж блока разветвительного БРИЗ отм. -2,900; 0,000; +3,900; +7,100; +10,450 1/1-18/1;А-Я 6,8 шт" u="1"/>
        <s v="Монтаж блока С2000-СП1 исп. 01 отм. -2,900; 0,000; +3,900; +7,100; +10,450 1/1-18/1;А-Я 0,1 шт" u="1"/>
        <s v="Монтаж радиоборудования системы тревожной сигнализации ОКО-3 отм. -2,900; 0,000; +3,900; +7,100; +10,450 1/1-18/1;А-Я 0,1 шт" u="1"/>
        <s v="Монтаж источника питания РИП-24 исп. 54 отм. 0,000 9-10;Р-У 0,1 шт" u="1"/>
        <s v="Монтаж аккумулятора DTM-1207 отм. 0,000 9-10;Р-У 0,1 шт" u="1"/>
        <s v="Прокладка огнестойкого кабеля  отм. -2,900; 0,000; +3,900; +7,100; +10,450 1/1-18/1;А-Я 242,42 м" u="1"/>
        <s v="Монтаж коробок огнестойких отм. -2,900; 0,000; +3,900; +7,100; +10,450 1/1-18/1;А-Я 66,67 шт" u="1"/>
        <s v="Монтаж охранного извещателя С2000-СМК отм. -2,900; 0,000; +3,900; +7,100; +10,450 1/1-18/1;А-Я 16 шт" u="1"/>
        <s v="Монтаж извещателя поверхностного С2000-СТ исп. 3 отм. -2,900; 0,000; +3,900; +7,100; +10,450 1/1-18/1;А-Я 11,1 шт" u="1"/>
        <s v="Монтаж извещателя объемного С2000-ИК исп.2 отм. -2,900; 0,000; +3,900; +7,100; +10,450 1/1-18/1;А-Я 0,4 шт" u="1"/>
        <s v="Монтаж извещателя поверхностного С2000-ИК отм. -2,900; 0,000; +3,900; +7,100; +10,450 1/1-18/1;А-Я 16,8 шт" u="1"/>
        <s v="Прокладка огнестокой кабельной линии отм. -2,900; 0,000; +3,900; +7,100; +10,450 1/1-18/1;А-Я 247,27 м" u="1"/>
        <s v="Монтаж громкоговорителя WP-06T отм. -2,900; 0,000; +3,900; +7,100; +10,450 1/1-18/1;А-Я 9,7 шт" u="1"/>
        <s v="Монтаж модуля речевого оповещения Рупор-200 отм. 0,000 9-10;Р-У 0,4 шт" u="1"/>
        <s v="Монтаж блока контрольно-пускового С2000-КПБ отм. 0,000 9-10;Р-У 0,1 шт" u="1"/>
        <s v="Монтаж прибора приемно-контрольного Сигнал-20М отм. 0,000 9-10;Р-У 0,2 шт" u="1"/>
        <s v="Монтаж блока переговорного Рупор-ДБ отм. 0,000 9-10;Р-У 0,2 шт" u="1"/>
        <s v="Монтаж блока абонентского Рупор-ДТ отм. -2,900; 0,000; +3,900; +7,100; +10,450 1/1-18/1;А-Я 2,3 шт" u="1"/>
        <s v="Монтаж резервного источника питания РИП-24 исп. 56 отм. 0,000 9-10;Р-У 0,1 шт" u="1"/>
        <s v="Монтаж аккумулятра DTM-1240 отм. 0,000 9-10;Р-У 0,2 шт" u="1"/>
        <s v="Монтаж резервного источника питания РИП-12исп. 50 отм. -2,900; 0,000; +3,900; +7,100; +10,450 1/1-18/1;А-Я 0,8 шт" u="1"/>
        <s v="Монтаж аккумулятра DTM-1217 отм. -2,900; 0,000; +3,900; +7,100; +10,450 1/1-18/1;А-Я 0,8 шт" u="1"/>
        <s v="Монтаж табличек &quot;Выход&quot; отм. -2,900; 0,000; +3,900; +7,100; +10,450 1/1-18/1;А-Я 6,8 шт" u="1"/>
        <s v="Монтаж оповещателя охранно-пожарного Маяк-24-СТ отм. 0,000 9-10;Р-У 0,2 шт" u="1"/>
        <s v="Покрытие поверхности потолка антисентиком  отм. -2,900; 0,000; +3,900; +7,100; +10,450 1/1-18/1;А-Я" u="1"/>
        <s v="Устройство промазки и расшивка швов панелей перекрытий раствором снизу отм. -2,900; 0,000; +3,900; +7,100; +10,450 1/1-18/1;А-Я" u="1"/>
        <s v="Устройство потолков типа &quot;Армтсронг&quot; отм. -2,900; 0,000; +3,900; +7,100; +10,450 1/1-18/1;А-Я" u="1"/>
        <s v="Штукатурка потолков толщиной до 10 мм отм. -2,900; 0,000; +3,900; +7,100; +10,450 1/1-18/1;А-Я" u="1"/>
        <s v="Огрунтовка и окраска потолков  отм. -2,900; 0,000; +3,900; +7,100; +10,450 1/1-18/1;А-Я" u="1"/>
        <s v="Покрытие поврехности стен антисептиком отм. -2,900; 0,000; +3,900; +7,100; +10,450 1/1-18/1;А-Я" u="1"/>
        <s v="Штукатурка стен толщиной до 40 мм отм. -2,900; 0,000; +3,900; +7,100; +10,450 1/1-18/1;А-Я" u="1"/>
        <s v="Устройство армирования основания под штукатурку отм. -2,900; 0,000; +3,900; +7,100; +10,450 1/1-18/1;А-Я" u="1"/>
        <s v="Штукатурка стен толщиной до 10 мм отм. -2,900; 0,000; +3,900; +7,100; +10,450 1/1-18/1;А-Я" u="1"/>
        <s v="Огрунтовка и окраска потолков отм. -2,900; 0,000; +3,900; +7,100; +10,450 1/1-18/1;А-Я" u="1"/>
        <s v="Оклейка стен обоями под окраску отм. -2,900; 0,000; +3,900; +7,100; +10,450 1/1-18/1;А-Я" u="1"/>
        <s v="Устройство декоративной штукатурки типа &quot;Короед&quot; отм. -2,900; 0,000; +3,900; +7,100; +10,450 1/1-18/1;А-Я" u="1"/>
        <s v="Огрунтовка и окраска декоративной штукатруки типа &quot;Короед&quot; отм. -2,900; 0,000; +3,900; +7,100; +10,450 1/1-18/1;А-Я" u="1"/>
        <s v="Облицовка вертикальных поверхностей керамической плиткой отм. -2,900; 0,000; +3,900; +7,100; +10,450 1/1-18/1;А-Я" u="1"/>
        <s v="Штукатурка оконных откосов толщиной до 20 мм отм. -2,900; 0,000; +3,900; +7,100; +10,450 1/1-18/1;А-Я" u="1"/>
        <s v="Облицовка оконных откосов листами ГКЛ отм. -2,900; 0,000; +3,900; +7,100; +10,450 1/1-18/1;А-Я" u="1"/>
        <s v="Устройство коробов из ГКЛ отм. -2,900; 0,000; +3,900; +7,100; +10,450 1/1-18/1;А-Я" u="1"/>
        <s v="Штукатурка оконных откосов толщиной до 10 мм отм. -2,900; 0,000; +3,900; +7,100; +10,450 1/1-18/1;А-Я" u="1"/>
        <s v="Окраска оконных откосов  отм. -2,900; 0,000; +3,900; +7,100; +10,450 1/1-18/1;А-Я" u="1"/>
        <s v="Штукатурка дверных откосов толщиной до 20 мм отм. -2,900; 0,000; +3,900; +7,100; +10,450 1/1-18/1;А-Я" u="1"/>
        <s v="Окраска дверных откосов отм. -2,900; 0,000; +3,900; +7,100; +10,450 1/1-18/1;А-Я" u="1"/>
        <s v="Разработка грунта механизированным способом" u="1"/>
        <s v="Шнековое бурение скважин станками типа ЛБУ-50 глубиной" u="1"/>
        <s v="Устройство обасдных труб" u="1"/>
        <s v="Забивка инъекторов" u="1"/>
        <s v="Цементация грунтов" u="1"/>
        <s v="Ликвидация скважин" u="1"/>
        <s v="Разработка грунта вручную (крыльцо главного входа)" u="1"/>
        <s v="Устройство бетонной подготовки (крыльцо главного входа)" u="1"/>
        <s v="Устройство ленточного фундамента (крыльцо главного входа)" u="1"/>
        <s v="Гидроизоляция боковых поврехностей ленточного фундамента (крыльцо главного входа)" u="1"/>
        <s v="Засыпка фундамента песком (крыльцо главного входа)" u="1"/>
        <s v="Устройство бетонной подготовки плиты пандуса (крыльцо главного входа)" u="1"/>
        <s v="Армирование плиты части входной площадки с пандусом (крыльцо главного входа)" u="1"/>
        <s v="Устройство плиты части входной площадки с пандусом (крыльцо главного входа)" u="1"/>
        <s v="Устройство песчанной подушки лестницы (крыльцо главного входа)" u="1"/>
        <s v="Устройство щебеночного основания лестницы (крыльцо главного входа)" u="1"/>
        <s v="Устройство бетонной подготовки лестницы (крыльцо главного входа)" u="1"/>
        <s v="Устройство ступеней лестницы (крыльцо главного входа)" u="1"/>
        <s v="Устройство цементно-песчанной стяжки (крыльцо главного входа)" u="1"/>
        <s v="Грунтовка горизонтальных и вертикальных поверхностей (крыльцо главного входа)" u="1"/>
        <s v="Облицовка горизонтальных и вертикальных поверхностей крыльца плиткой (крыльцо главного входа)" u="1"/>
        <s v="Монтаж металлических ограждений  (крыльцо главного входа)" u="1"/>
        <s v="Разработка грунта вручную (эвакуационные выходы №1-13)" u="1"/>
        <s v="Устройство щебеночного основания из щебня фр. 20-40 и 5-20 (эвакуационные выходы №1-13)" u="1"/>
        <s v="Устройство бетонной подготовки (эвакуационные выходы №1-13)" u="1"/>
        <s v="Армирование плит  (эвакуационные выходы №1-13)" u="1"/>
        <s v="Устройстов железобетонных плит крылец (эвакуационные выходы №1-13)" u="1"/>
        <s v="Устройство ленточного фундамента (эвакуационные выходы №6,10,11,12)" u="1"/>
        <s v="Гидроизоляция боковых поврехностей ленточного фундамента (эвакуационные выходы №6,10,11,12)" u="1"/>
        <s v="Засыпка фундамента песком (эвакуационные выходы №6,10,11,12)" u="1"/>
        <s v="Устройство железобетонной плиты (эвакуационные выходы №1-13)" u="1"/>
        <s v="Устройство щебеночного основания из щебня фр. 20-40 и 5-20 лестниц (эвакуационные выходы №6,10,11,12)" u="1"/>
        <s v="Устройство бетонной подготовки лестниц (эвакуационные выходы №6,10,11,12)" u="1"/>
        <s v="Устройство степеней (эвакуационные выходы №6,10,11,12)" u="1"/>
        <s v="Устройство стяжек цементных (эвакуационные выходы №1-13)" u="1"/>
        <s v="Устройство покрытий из плит керамогранитных (эвакуационные выходы №1-13)" u="1"/>
        <s v="Грунтовка вертикальных поверхностей (эвакуационные выходы №1-13)" u="1"/>
        <s v="Штукатурка вертикальных поверхностей (эвакуационные выходы №1-13)" u="1"/>
        <s v="Монтаж металлических ограждений  (эвакуационные выходы №1-13)" u="1"/>
        <s v="Кладка стен из кирпича для увеличения высоты (вход в подвал №1-3)" u="1"/>
        <s v="Огрунтовка стен (вход в подвал №1-3)" u="1"/>
        <s v="Устройство основания под штукатурку (вход в подвал №1-3)" u="1"/>
        <s v="Штукатурка вертикальных поверхностей (вход в подвал №1-3)" u="1"/>
        <s v="Устройство ступеней (вход в подвал №1-3)" u="1"/>
        <s v="Устройство стяжек цементных (вход в подвал №1-3)" u="1"/>
        <s v="Устройство покрытий из плит керамогранитных (вход в подвал №1-3)" u="1"/>
        <s v="Монтаж пристенных поручней (вход в подвал №1-3)" u="1"/>
        <s v="Устройство опорных стоек и каркаса навесов (эвакуационные выхода литера А во внутренний двор)" u="1"/>
        <s v="Крепление навеса анкерными болтами (эвакуационные выхода литера А во внутренний двор)" u="1"/>
        <s v="Огрунтовка  металлических конструкций навеса грунтовкой ГФ-021 (эвакуационные выхода литера А во внутренний двор)" u="1"/>
        <s v="Окраска металлических конструкций навеса краской по металлу в 2 слоя эмалью ПФ-115 (эвакуационные выхода литера А во внутренний двор)" u="1"/>
        <s v="Устройство покрытия навесов из профлиста (эвакуационные выхода литера А во внутренний двор)" u="1"/>
        <s v="Устройство опорных стоек и каркаса навесов (эвакуационные выхода)" u="1"/>
        <s v="Крепление навеса анкерными болтами (эвакуационные выхода)" u="1"/>
        <s v="Огрунтовка  металлических конструкций навеса грунтовкой ГФ-021 (эвакуационные выхода)" u="1"/>
        <s v="Окраска металлических конструкций навеса краской по металлу в 2 слоя эмалью ПФ-115 (эвакуационные выхода)" u="1"/>
        <s v="Устройство покрытия навесов из профлиста (эвакуационные выхода)" u="1"/>
        <s v="Кладка стен из кирпича для увеличения высоты (досуговый центр)" u="1"/>
        <s v="Устройство опорных стоек и каркаса навесов (досуговый центр)" u="1"/>
        <s v="Крепление навеса анкерными болтами (досуговый центр)" u="1"/>
        <s v="Огрунтовка  металлических конструкций навеса грунтовкой ГФ-021 (досуговый центр)" u="1"/>
        <s v="Окраска металлических конструкций навеса краской по металлу в 2 слоя эмалью ПФ-115 (досуговый центр)" u="1"/>
        <s v="Устройство покрытия навесов из профлиста (досуговый центр)" u="1"/>
        <s v="Устройство опорных стоек и каркаса навесов (крыльцо главного входа)" u="1"/>
        <s v="Крепление навеса анкерными болтами (крыльцо главного входа)" u="1"/>
        <s v="Огрунтовка  металлических конструкций навеса грунтовкой ГФ-021 (крыльцо главного входа)" u="1"/>
        <s v="Окраска металлических конструкций навеса краской по металлу в 2 слоя эмалью ПФ-115 (крыльцо главного входа)" u="1"/>
        <s v="Устройство покрытия навесов из профлиста (крыльцо главного входа)" u="1"/>
        <s v="Разработка грунта для прокладки кабеля" u="1"/>
        <s v="Устройство песчанной постели для прокладки кабеля" u="1"/>
        <s v="Прокладка кабеля с присоединением" u="1"/>
        <s v="Покрытие кабеля в траншее кирпичом" u="1"/>
        <s v="Покрытие кабеля в траншее сигнальной лентой" u="1"/>
        <s v="Засыпка траншеи вручную песком" u="1"/>
        <s v="Засыпка транщеи механизированно местным грунтом" u="1"/>
        <s v="Уплотнение грунта " u="1"/>
        <s v="Устройство заземления из медного кабеля" u="1"/>
        <s v="Прокладк кабеля с креплением накладными скобами" u="1"/>
        <s v="Установка железобетонных опор одностоечных" u="1"/>
        <s v="Подвеска самонесущих изолированных проводов" u="1"/>
        <s v="Устройство заземления опор " u="1"/>
        <s v="Разработка грунта механизированным спосбом" u="1"/>
        <s v="Демонтаж трубопроводов Ф20…50мм" u="1"/>
        <s v="Демонтаж железобетонных колодцев" u="1"/>
        <s v="Доработка траншеи вручную" u="1"/>
        <s v="Устройство песчанной подушки трубопровода" u="1"/>
        <s v="Устройство железобетонных колодцев" u="1"/>
        <s v="Огрунтовка гильз для прохода трубопровода сквозь стенки колодцев грунтовкой ГФ-021" u="1"/>
        <s v="Окраска гильз для прохода трубопровода сквозь стенки колодцев эмалью ПФ-115" u="1"/>
        <s v="Прокладка трубопровода Ф50мм" u="1"/>
        <s v="Присыпка трубопровода песком" u="1"/>
        <s v="Засыпка траншеи местным грунтом вручную" u="1"/>
        <s v="Засыпка траншеи местным грунтом механизированным способом" u="1"/>
        <s v="Монтаж запорной арматуры" u="1"/>
        <s v="Монтаж фильтров ФММ-32" u="1"/>
        <s v="Устройство бетонной отмостки" u="1"/>
        <s v="Демонтаж трубопроводов керамических Ф100…300мм" u="1"/>
        <s v="Демонтаж трубопроводом чугунных Ф100мм" u="1"/>
        <s v="Огрунтовка металлических поверхностей элементов колодцев грунтовкой ГФ-021" u="1"/>
        <s v="Окраска металлических поверхностей элементов колодцев эмалью ПФ-115" u="1"/>
        <s v="Прокладка трубопровода Ф110…250 мм (хоз.быт.)" u="1"/>
        <s v="Прокладка трубопровода Ф110 мм (произв.)" u="1"/>
        <s v="Устройство футляра из ПЭ труб (дренаж)" u="1"/>
        <s v="Прокладка трубопровода Ф250 мм (дренаж)" u="1"/>
        <s v="Протаскивание трубы в футляр (дренаж)" u="1"/>
        <s v="Прокладка трубопровода Ф250 мм (транзит)" u="1"/>
        <s v="[1]_Пролив системы К1, К3" u="1"/>
        <s v="[1]_Система хозяйственно-бытового водоснабжения (Сеть В1)" u="1"/>
        <s v="[2]_Система бытовой канализации (Сеть К1)" u="1"/>
        <s v="[3]_Система производственной канализации (Сеть К3)" u="1"/>
        <s v="[4]_Система транзитной канализации" u="1"/>
        <s v="Прокладка сетей отопления из PP-R труб Ф20…75мм отм. -2,900; 0,000; +3,900; +7,100; +10,450 1/1-18/1;А-Я" u="1"/>
        <s v="Прокладка сетей отопления из стальных труб Ф80…100 мм отм. -2,900; 0,000; +3,900; +7,100; +10,450 1/1-18/1;А-Я" u="1"/>
        <s v="Теплоизоляция сетей отопления минераловатными цилиндрами отм. -2,900; 0,000; +3,900; +7,100; +10,450 1/1-18/1;А-Я" u="1"/>
        <s v="Покрытие сети отопления оцинкованной сталью отм. -2,900; 0,000; +3,900; +7,100; +10,450 1/1-18/1;А-Я" u="1"/>
        <s v="Монтаж биметаллических радиаторов отм. -2,900; 0,000; +3,900; +7,100; +10,450 1/1-18/1;А-Я 10,19 шт" u="1"/>
        <s v="Монтаж клапанов тероморегулирования отм. -2,900; 0,000; +3,900; +7,100; +10,450 1/1-18/1;А-Я 20,38 шт" u="1"/>
        <s v="Монтаж балансировочного узла отм. -2,900; 0,000; +3,900; +7,100; +10,450 1/1-18/1;А-Я 12,67 шт" u="1"/>
        <s v="Монтаж кранов воздушных отм. -2,900; 0,000; +3,900; +7,100; +10,450 1/1-18/1;А-Я 3,08 компл." u="1"/>
        <s v="Монтаж ручных балансировочных клапанов  отм. -2,900; 0,000; +3,900; +7,100; +10,450 1/1-18/1;А-Я 3,08 шт" u="1"/>
        <s v="Монтаж БТП отм. -2,900 1/1-2/1;Р-У 0,03 шт" u="1"/>
        <s v="Прокладка сетей отопления из стальных труб Ф125 мм отм. -2,900 1/1-2/1;Р-У" u="1"/>
        <s v="Теплоизоляция сетей отопления минераловатными цилиндрами отм. -2,900 1/1-2/1;Р-У" u="1"/>
        <s v="Покрытие сети отопления оцинкованной сталью отм. -2,900 1/1-2/1;Р-У" u="1"/>
        <s v="Огрунтовка оцинкованной защиты сети отопления грунтовкой ГФ-021 отм. -2,900 1/1-2/1;Р-У" u="1"/>
        <s v="Окраска оцинкованной защиты сети отопления эмалью ПФ-115 отм. -2,900 1/1-2/1;Р-У" u="1"/>
        <s v="Установка погружных дренажных насосов отм. -2,900 1/1-2/1;Р-У 0,4 шт" u="1"/>
        <s v="Прокладка сетей теплоснабжения из стальных труб Ф20…65 мм отм. -2,900; 0,000; +3,900; +7,100; +10,450 1/1-18/1;А-Я" u="1"/>
        <s v="Огрунтовка оцинкованной защиты сети отопления грунтовкой ГФ-021 отм. -2,900; 0,000; +3,900; +7,100; +10,450 1/1-18/1;А-Я" u="1"/>
        <s v="Окраска оцинкованной защиты сети отопления эмалью ПФ-115 отм. -2,900; 0,000; +3,900; +7,100; +10,450 1/1-18/1;А-Я" u="1"/>
        <s v="Монтаж водосмесительных узлов отм. -2,900; 0,000; +3,900; +7,100; +10,450 1/1-18/1;А-Я 0,45 шт" u="1"/>
        <s v="Монтаж клапанов балансировочных отм. -2,900; 0,000; +3,900; +7,100; +10,450 1/1-18/1;А-Я 0,09 шт" u="1"/>
        <s v="Прокладка воздуховодов  отм. -2,900; 0,000; +3,900; +7,100; +10,450 1/1-18/1;А-Я" u="1"/>
        <s v="Теплоизоляция сетей вентиляции матами из базальтового волокна отм. -2,900; 0,000; +3,900; +7,100; +10,450 1/1-18/1;А-Я" u="1"/>
        <s v="Монтаж приточных камер отм. -2,900; 0,000; +3,900; +7,100; +10,450 1/1-18/1;А-Я 0,38 шт" u="1"/>
        <s v="Монтаж радиальных вентиляторов (В1) отм. -2,900; 0,000; +3,900; +7,100; +10,450 1/1-18/1;А-Я 1 шт" u="1"/>
        <s v="Монтаж радиальных вентиляторов (В2) отм. -2,900; 0,000; +3,900; +7,100; +10,450 1/1-18/1;А-Я 1 шт" u="1"/>
        <s v="Монтаж крышных вентилятров (В3,В4,В5) отм. -2,900; 0,000; +3,900; +7,100; +10,450 1/1-18/1;А-Я 3 шт" u="1"/>
        <s v="Монтаж вентиляторов радиальных (В6-В13) отм. -2,900; 0,000; +3,900; +7,100; +10,450 1/1-18/1;А-Я 0,5 шт" u="1"/>
        <s v="Монтаж зонтов над вентиялционными шахтами отм. -2,900; 0,000; +3,900; +7,100; +10,450 1/1-18/1;А-Я 0,42 шт" u="1"/>
        <s v="Монтаж узлов прохода вытяжных вентиляций отм. -2,900; 0,000; +3,900; +7,100; +10,450 1/1-18/1;А-Я 0,39 шт" u="1"/>
        <s v="Монтаж вентиляционных решеток отм. -2,900; 0,000; +3,900; +7,100; +10,450 1/1-18/1;А-Я 8,89 шт" u="1"/>
        <s v="Монтаж клапанов противопожарных отм. -2,900; 0,000; +3,900; +7,100; +10,450 1/1-18/1;А-Я 0,22 шт" u="1"/>
        <s v="Установка сплит систем с внутренним блоком отм. -2,900; 0,000; +3,900; +7,100; +10,450 1/1-18/1;А-Я 1,22 шт" u="1"/>
        <s v="Установка центральной сплит-системы отм. -2,900; 0,000; +3,900; +7,100; +10,450 1/1-18/1;А-Я 0,11 компл." u="1"/>
        <s v="Монтаж шкафа управления ЯОУ 9601-3474-УЗ.1 IP54 0,120 шт" u="1"/>
        <s v="Монтаж выключателей 4,120 шт" u="1"/>
        <s v="Устройство песчанной постели" u="1"/>
        <s v="Прокладка кабеля уличного освещения" u="1"/>
        <s v="Засыпка траншеи местным грунтом с укладкой сигнальной ленты" u="1"/>
        <s v="Уплотнение траншеи" u="1"/>
        <s v="Бурение скважин для монтажа опор освещения" u="1"/>
        <s v="Устройство щебеносного основания" u="1"/>
        <s v="Устройство бетонного основания опор освещения" u="1"/>
        <s v="Установка закладных деталей" u="1"/>
        <s v="Установка опор освещения" u="1"/>
        <s v="Монтаж светильников наружного освещения 4,120 шт" u="1"/>
        <s v="Установка бортовых камней " u="1"/>
        <s v="Устройство подстилающих слоев из песка" u="1"/>
        <s v="Устройство щебеоночного основания" u="1"/>
        <s v="Устройство асфальтового покрытия " u="1"/>
        <s v="Устройство щебеночного основания" u="1"/>
        <s v="Устройтсво асфальтового покрытия " u="1"/>
        <s v="Устройство покрытий из троутарной плитки" u="1"/>
        <s v="Устройство резинового покрытия" u="1"/>
        <s v="Устройство прокладочного слоя из Дорнита" u="1"/>
        <s v="Устройство газона из рулонных материалов" u="1"/>
        <s v="Установка мягкого брдюра" u="1"/>
        <s v="Устройство подстилающих слоев толщ. 190 мм (корридоры, вспомогательные и подсобные помещениях в подвале) отм. -2,900; 1/1-12;Е-Я" u="1"/>
        <s v="Устройство прокладочной гидроизоляции (корридоры, вспомогательные и подсобные помещениях в подвале) отм. -2,900; 1/1-12;Е-Я" u="1"/>
        <s v="Устройство армированного подстилающего слоя (корридоры, вспомогательные и подсобные помещениях в подвале) отм. -2,900; 1/1-12;Е-Я" u="1"/>
        <s v="Устройство теплоизоляции (корридоры, вспомогательные и подсобные помещениях в подвале) отм. -2,900; 1/1-12;Е-Я" u="1"/>
        <s v="Устройство пароизоляции (корридоры, вспомогательные и подсобные помещениях в подвале) отм. -2,900; 1/1-12;Е-Я" u="1"/>
        <s v="Устройство армированной цементной стяжки толщ. 80мм (корридоры, вспомогательные и подсобные помещениях в подвале) отм. -2,900; 1/1-12;Е-Я" u="1"/>
        <s v="Устройство покрытий из керамогранитной плитки  (корридоры, вспомогательные и подсобные помещениях в подвале) отм. -2,900; 1/1-12;Е-Я" u="1"/>
        <s v="Устройство подстилающих слоев толщ. 150 мм (кабинеты в подвале) отм. -2,900; 1/1-12;Е-Я" u="1"/>
        <s v="Устройство прокладочной гидроизоляции (кабинеты в подвале) отм. -2,900; 1/1-12;Е-Я" u="1"/>
        <s v="Устройство армированного подстилающего слоя (кабинеты в подвале) отм. -2,900; 1/1-12;Е-Я" u="1"/>
        <s v="Устройство теплоизоляции (кабинеты в подвале) отм. -2,900; 1/1-12;Е-Я" u="1"/>
        <s v="Устройство пароизоляции (кабинеты в подвале) отм. -2,900; 1/1-12;Е-Я" u="1"/>
        <s v="Устройство армированной цементной стяжки толщ. 80мм (кабинеты в подвале) отм. -2,900; 1/1-12;Е-Я" u="1"/>
        <s v="Устройство самовыравнивающейся стяжки тощ. 10 мм (кабинеты в подвале) отм. -2,900; 1/1-12;Е-Я" u="1"/>
        <s v="Устройство покрытия из линолеума (кабинеты в подвале) отм. -2,900; 1/1-12;Е-Я" u="1"/>
        <s v="Устройство плинтуса ПВХ (кабинеты в подвале) отм. -2,900; 1/1-12;Е-Я" u="1"/>
        <s v="Устройство подстилающих слоев толщ. 150 мм (помещения с мокрыми  процессами в подвале) отм. -2,900; 1/1-12;Е-Я" u="1"/>
        <s v="Устройство прокладочной гидроизоляции (помещения с мокрыми  процессами в подвале) отм. -2,900; 1/1-12;Е-Я" u="1"/>
        <s v="Устройство армированного подстилающего слоя (помещения с мокрыми  процессами в подвале) отм. -2,900; 1/1-12;Е-Я" u="1"/>
        <s v="Устройство теплоизоляции (помещения с мокрыми  процессами в подвале) отм. -2,900; 1/1-12;Е-Я" u="1"/>
        <s v="Устройство пароизоляции (помещения с мокрыми  процессами в подвале) отм. -2,900; 1/1-12;Е-Я" u="1"/>
        <s v="Устройство армированной цементной стяжки толщ. 80мм (помещения с мокрыми  процессами в подвале) отм. -2,900; 1/1-12;Е-Я" u="1"/>
        <s v="Устройство обмазочной гидроизоляции с заводом на стену (помещения с мокрыми  процессами в подвале) отм. -2,900; 1/1-12;Е-Я" u="1"/>
        <s v="Устройство покрытий из керамогранитной плитки  (помещения с мокрыми  процессами в подвале) отм. -2,900; 1/1-12;Е-Я" u="1"/>
        <s v="Устройство подстилающих слоев толщ. 500 мм (корридоры, вспомогательные и подсобные помещения на 1 этаже литер А,А1,А2,А3,А4,А5,А6) отм. 0,000; 1-18/А-Я" u="1"/>
        <s v="Устройство прокладочной гидроизоляции (корридоры, вспомогательные и подсобные помещения на 1 этаже литер А,А1,А2,А3,А4,А5,А6) отм. 0,000; 1-18/А-Я" u="1"/>
        <s v="Устройство армированного подстилающего слоя (корридоры, вспомогательные и подсобные помещения на 1 этаже литер А,А1,А2,А3,А4,А5,А6) отм. 0,000; 1-18/А-Я" u="1"/>
        <s v="Устройство теплоизоляции (корридоры, вспомогательные и подсобные помещения на 1 этаже литер А,А1,А2,А3,А4,А5,А6) отм. 0,000; 1-18/А-Я" u="1"/>
        <s v="Устройство пароизоляции (корридоры, вспомогательные и подсобные помещения на 1 этаже литер А,А1,А2,А3,А4,А5,А6) отм. 0,000; 1-18/А-Я" u="1"/>
        <s v="Устройство армированной цементной стяжки толщ. 80мм (корридоры, вспомогательные и подсобные помещения на 1 этаже литер А,А1,А2,А3,А4,А5,А6) отм. 0,000; 1-18/А-Я" u="1"/>
        <s v="Устройство самовыравнивающейся стяжки тощ. 10 мм (корридоры, вспомогательные и подсобные помещения на 1 этаже литер А,А1,А2,А3,А4,А5,А6) отм. 0,000; 1-18/А-Я" u="1"/>
        <s v="Устройство покрытий из керамогранитной плитки  (корридоры, вспомогательные и подсобные помещения на 1 этаже литер А,А1,А2,А3,А4,А5,А6) отм. 0,000; 1-18/А-Я" u="1"/>
        <s v="Устройство подстилающих слоев толщ. 500 мм (кабинеты на 1 этаже литер А, А1, А3, А5, А6) отм. 0,000; 1-18/А-Я" u="1"/>
        <s v="Устройство прокладочной гидроизоляции (кабинеты на 1 этаже литер А, А1, А3, А5, А6) отм. 0,000; 1-18/А-Я" u="1"/>
        <s v="Устройство армированного подстилающего слоя (кабинеты на 1 этаже литер А, А1, А3, А5, А6) отм. 0,000; 1-18/А-Я" u="1"/>
        <s v="Устройство теплоизоляции (кабинеты на 1 этаже литер А, А1, А3, А5, А6) отм. 0,000; 1-18/А-Я" u="1"/>
        <s v="Устройство пароизоляции (кабинеты на 1 этаже литер А, А1, А3, А5, А6) отм. 0,000; 1-18/А-Я" u="1"/>
        <s v="Устройство армированной цементной стяжки толщ. 80мм (кабинеты на 1 этаже литер А, А1, А3, А5, А6) отм. 0,000; 1-18/А-Я" u="1"/>
        <s v="Устройство самовыравнивающейся стяжки тощ. 10 мм (кабинеты на 1 этаже литер А, А1, А3, А5, А6) отм. 0,000; 1-18/А-Я" u="1"/>
        <s v="Устройство покрытия из линолеума (кабинеты на 1 этаже литер А, А1, А3, А5, А6) отм. 0,000; 1-18/А-Я" u="1"/>
        <s v="Устройство плинтуса ПВХ (кабинеты на 1 этаже литер А, А1, А3, А5, А6) отм. 0,000; 1-18/А-Я" u="1"/>
        <s v="Устройство подстилающих слоев толщ. 500 мм (помещения с мокрыми процессами на 1 этаже литер А, А1, А3, А5, А6) отм. 0,000; 1-18/А-Я" u="1"/>
        <s v="Устройство прокладочной гидроизоляции (помещения с мокрыми процессами на 1 этаже литер А, А1, А3, А5, А6) отм. 0,000; 1-18/А-Я" u="1"/>
        <s v="Устройство армированного подстилающего слоя (помещения с мокрыми процессами на 1 этаже литер А, А1, А3, А5, А6) отм. 0,000; 1-18/А-Я" u="1"/>
        <s v="Устройство теплоизоляции (помещения с мокрыми процессами на 1 этаже литер А, А1, А3, А5, А6) отм. 0,000; 1-18/А-Я" u="1"/>
        <s v="Устройство пароизоляции (помещения с мокрыми процессами на 1 этаже литер А, А1, А3, А5, А6) отм. 0,000; 1-18/А-Я" u="1"/>
        <s v="Устройство армированной цементной стяжки толщ. 80мм (помещения с мокрыми процессами на 1 этаже литер А, А1, А3, А5, А6) отм. 0,000; 1-18/А-Я" u="1"/>
        <s v="Устройство обмазочной гидроизоляции с заводом на стену (помещения с мокрыми процессами на 1 этаже литер А, А1, А3, А5, А6) отм. 0,000; 1-18/А-Я" u="1"/>
        <s v="Устройство самовыравнивающейся стяжки тощ. 10 мм (помещения с мокрыми процессами на 1 этаже литер А, А1, А3, А5, А6) отм. 0,000; 1-18/А-Я" u="1"/>
        <s v="Устройство покрытий из керамогранитной плитки  (помещения с мокрыми процессами на 1 этаже литер А, А1, А3, А5, А6) отм. 0,000; 1-18/А-Я" u="1"/>
        <s v="Устройство подстилающего слоя (кабинете ритмики) отм. 0,000; 17/1-18/1;Ж/1-Н" u="1"/>
        <s v="Устройство оклеечной гидроизоляции  (кабинете ритмики) отм. 0,000; 17/1-18/1;Ж/1-Н" u="1"/>
        <s v="Устройство теплоизоляции (кабинете ритмики) отм. 0,000; 17/1-18/1;Ж/1-Н" u="1"/>
        <s v="Устройство пароизоляции (кабинете ритмики) отм. 0,000; 17/1-18/1;Ж/1-Н" u="1"/>
        <s v="Устройство армированной цементной стяжки толщ. 80мм (кабинете ритмики) отм. 0,000; 17/1-18/1;Ж/1-Н" u="1"/>
        <s v="Устройство основания полово из фанеры (кабинете ритмики) отм. 0,000; 17/1-18/1;Ж/1-Н" u="1"/>
        <s v="Обработка основания из фанеры огнебиозащитой (кабинете ритмики) отм. 0,000; 17/1-18/1;Ж/1-Н" u="1"/>
        <s v="Устройство покрытий из паркетной доски (кабинете ритмики) отм. 0,000; 17/1-18/1;Ж/1-Н" u="1"/>
        <s v="Устройство пароизоляции (помещения с мокрыми процессами на 1 этаже литер А2, А4 на 2, 3, 4 этаж) отм. 0,000; +3,300; +7,100; +10,450 1-18/А-Я" u="1"/>
        <s v="Устройство армированной цементной стяжки толщ. 80мм (помещения с мокрыми процессами на 1 этаже литер А2, А4 на 2, 3, 4 этаж) отм. 0,000; +3,300; +7,100; +10,450 1-18/А-Я" u="1"/>
        <s v="Устройство обмазочной гидроизоляции с заводом на стену (помещения с мокрыми процессами на 1 этаже литер А2, А4 на 2, 3, 4 этаж) отм. 0,000; +3,300; +7,100; +10,450 1-18/А-Я" u="1"/>
        <s v="Устройство покрытий из керамогранитной плитки  (помещения с мокрыми процессами на 1 этаже литер А2, А4 на 2, 3, 4 этаж) отм. 0,000; +3,300; +7,100; +10,450 1-18/А-Я" u="1"/>
        <s v="Устройство пароизоляции (корридор, вспомогательные и подсобные помещения на 1 этаже литер А2, А4 на 2, 3, 4 этаж) отм. 0,000; +3,300; +7,100; +10,450 1-18/А-Я" u="1"/>
        <s v="Устройство армированной цементной стяжки толщ. 80мм (корридор, вспомогательные и подсобные помещения на 1 этаже литер А2, А4 на 2, 3, 4 этаж) отм. 0,000; +3,300; +7,100; +10,450 1-18/А-Я" u="1"/>
        <s v="Устройство самовыравнивающейся стяжки тощ. 10 мм (корридор, вспомогательные и подсобные помещения на 1 этаже литер А2, А4 на 2, 3, 4 этаж) отм. 0,000; +3,300; +7,100; +10,450 1-18/А-Я" u="1"/>
        <s v="Устройство покрытий из керамогранитной плитки  (корридор, вспомогательные и подсобные помещения на 1 этаже литер А2, А4 на 2, 3, 4 этаж) отм. 0,000; +3,300; +7,100; +10,450 1-18/А-Я" u="1"/>
        <s v="Устройство пароизоляции (кабинеты на 1 этаже литер А2, А4 на 2, 3, 4 этаж) отм. 0,000; +3,300; +7,100; +10,450 1-18/А-Я" u="1"/>
        <s v="Устройство армированной цементной стяжки толщ. 80мм (кабинеты на 1 этаже литер А2, А4 на 2, 3, 4 этаж) отм. 0,000; +3,300; +7,100; +10,450 1-18/А-Я" u="1"/>
        <s v="Устройство самовыравнивающейся стяжки тощ. 10 мм (кабинеты на 1 этаже литер А2, А4 на 2, 3, 4 этаж) отм. 0,000; +3,300; +7,100; +10,450 1-18/А-Я" u="1"/>
        <s v="Устройство покрытия из линолеума (кабинеты на 1 этаже литер А2, А4 на 2, 3, 4 этаж) отм. 0,000; +3,300; +7,100; +10,450 1-18/А-Я" u="1"/>
        <s v="Устройство плинтуса ПВХ (кабинеты на 1 этаже литер А2, А4 на 2, 3, 4 этаж) отм. 0,000; +3,300; +7,100; +10,450 1-18/А-Я" u="1"/>
        <s v="Устройство армированной цементной стяжки толщ. 80мм (спортзал) отм. +3,300 1/1-8/1;А-В, 16/1-18/1;Е-Н" u="1"/>
        <s v="Устройство самовыравнивающейся стяжки тощ. 10 мм (спортзал) отм. +3,300 1/1-8/1;А-В, 16/1-18/1;Е-Н" u="1"/>
        <s v="Устройство покрытия из линолеума (спортзал) отм. +3,300 1/1-8/1;А-В, 16/1-18/1;Е-Н" u="1"/>
        <s v="Устройство плинтуса ПВХ (спортзал) отм. +3,300 1/1-8/1;А-В, 16/1-18/1;Е-Н" u="1"/>
        <s v="Устройство армированной цементной стяжки толщ. 80мм (актовый зал и библиотека) отм. +3,300; +7,100 11/1-18-1;А-В, 11/1-13/1;А-Б" u="1"/>
        <s v="Устройство самовыравнивающейся стяжки тощ. 10 мм (актовый зал и библиотека) отм. +3,300; +7,100 11/1-18-1;А-В, 11/1-13/1;А-Б" u="1"/>
        <s v="Устройство покрытий из керамогранитной плитки  (актовый зал и библиотека) отм. +3,300; +7,100 11/1-18-1;А-В, 11/1-13/1;А-Б" u="1"/>
        <s v="Устройство основания полово из фанеры (сцена) отм. +3,300 11/1-18-1;А-В" u="1"/>
        <s v="Обработка основания из фанеры огнебиозащитой (сцена) отм. +3,300 11/1-18-1;А-В" u="1"/>
        <s v="Устройство покрытий из паркетной доски (сцена) отм. +3,300 11/1-18-1;А-В" u="1"/>
        <s v="Устройство армированной цементной стяжки толщ. 80мм (административные кабинеты) отм. 0,000; +3,300; +7,100; +10,450 1-18/А-Я" u="1"/>
        <s v="Устройство основания полово из фанеры (административные кабинеты) отм. 0,000; +3,300; +7,100; +10,450 1-18/А-Я" u="1"/>
        <s v="Обработка основания из фанеры огнебиозащитой (административные кабинеты) отм. 0,000; +3,300; +7,100; +10,450 1-18/А-Я" u="1"/>
        <s v="Устройство покрытий из паркетной доски (административные кабинеты) отм. 0,000; +3,300; +7,100; +10,450 1-18/А-Я" u="1"/>
        <s v="Устройство теплоизоляции (чердак) отм. +8,240 1-18;Е-У" u="1"/>
        <s v="Устройство пароизоляции (чердак) отм. +8,240 1-18;Е-У" u="1"/>
        <s v="Устройство армированной цементной стяжки толщ. 80мм (чердак) отм. +8,240 1-18;Е-У" u="1"/>
        <s v="Устройство армированной цементной стяжки толщ. 50мм (лестницы) отм. 0,000; +3,300; +7,100; +10,450 1-18/А-Я" u="1"/>
        <s v="Огрнутовка поверхности  (лестницы) отм. 0,000; +3,300; +7,100; +10,450 1-18/А-Я" u="1"/>
        <s v="Устройство покрытий из керамогранитной плитки  (лестницы) отм. 0,000; +3,300; +7,100; +10,450 1-18/А-Я" u="1"/>
        <s v="Устройство сапожка отм. 0,000; +3,300; +7,100; +10,450 1-18/А-Я" u="1"/>
        <s v="Устройство подстилающих слоев толщ. 500 мм отм. -2,900; 0,000 1-18/А-Я" u="1"/>
        <s v="Устройство прокладочной гидроизоляции отм. -2,900; 0,000 1-18/А-Я" u="1"/>
        <s v="Устройство бетонной подготовки отм. -2,900; 0,000 1-18/А-Я" u="1"/>
        <s v="Устройство стен подпольных каналов отм. -2,900; 0,000 1-18/А-Я" u="1"/>
        <s v="Гидроизоляция стен каналов отм. -2,900; 0,000 1-18/А-Я" u="1"/>
        <s v="Монтаж съемных металлических полов отм. -2,900; 0,000 1-18/А-Я" u="1"/>
        <s v="Прокладка сети радиофикации в лотках и гофре отм. -2,900; 0,000; +3,300; +7,450; +10,500 А-Я/1-18" u="1"/>
        <s v="Монтаж громкоговорителей Нейва отм. -2,900; 0,000; +3,300; +7,450; +10,500 А-Я/1-18 13 шт" u="1"/>
        <s v="Монтаж розеток РПВ-2 отм. -2,900; 0,000; +3,300; +7,450; +10,500 А-Я/1-18 13 шт" u="1"/>
        <s v="Монтаж Конвертер FG-ACE-CON-VF/Eth,V2 отм. -2,900; 0,000; +3,300; +7,450; +10,500 А-Я/1-18 0,17 шт" u="1"/>
        <s v="Прокладка сети телевидения" u="1"/>
        <s v="Монтаж Шкаф электрослаботочных устройств 300х300х100 0,2 шт" u="1"/>
        <s v="Монтаж РЕМО ДМТ-3 0,2 шт" u="1"/>
        <s v="Монтаж Антенна СПЕКТР 10.4 DVB-T2 0,4 шт" u="1"/>
        <s v="Монтаж Terra MA021/Planar BX501 0,25 шт" u="1"/>
        <s v="Монтаж Рим TV 75Ом 5-862МГц 0,2 шт" u="1"/>
        <s v="Монтаж камервидеонаблюдения 11,4 шт" u="1"/>
        <s v="Монтаж коммутатора 1,2 шт" u="1"/>
        <s v="Монтаж монитора 0,75 шт" u="1"/>
        <s v="Монтаж системы регистрации 0,2 шт" u="1"/>
        <s v="Монтаж ПК охраны 0,4 шт" u="1"/>
        <s v="Монтаж точки доступа WiFi 3,8 шт" u="1"/>
        <s v="Монтаж спортивного табло 0,5 шт" u="1"/>
        <s v="Проклака сети музыфикации" u="1"/>
        <s v="Монтаж настольного микшера 0,75 шт" u="1"/>
        <s v="Монтаж микрофона настольного 0,5 шт" u="1"/>
        <s v="Монтаж громкоговорителей 1,5 шт" u="1"/>
        <s v="Монтаж звуковой колонки 2,67 шт" u="1"/>
        <s v="Прокладка сети школьных звоноков" u="1"/>
        <s v="Монтаж системы управления звонками 0,25 шт" u="1"/>
        <s v="Монтаж настольного микшера 0,25 шт" u="1"/>
        <s v="Монтаж громкоговорителя 6,75 шт" u="1"/>
        <s v="Монтаж настольного микрофона 0,25 шт" u="1"/>
        <s v="Прокладка сети голосовой связи" u="1"/>
        <s v="Монтаж пульта связи 0,1 шт" u="1"/>
        <s v="Монтаж Абонентсвого переговорного устройства 0,5 шт" u="1"/>
        <s v="Монтаж коридорных ламп 0,5 шт" u="1"/>
        <s v="Монтаж источников бесперебойного питания 0,5 шт" u="1"/>
        <s v="Монтаж аккумуляторов 0,67 шт" u="1"/>
        <s v="Прокладка сети часофикации" u="1"/>
        <s v="Монтаж часово станции 0,120 шт" u="1"/>
        <s v="Монтаж часов стрелочных 23 шт" u="1"/>
        <s v="Прокладка сети СКС" u="1"/>
        <s v="Проклака сети заземления" u="1"/>
        <s v="Монтаж блоков 0,52 шт" u="1"/>
        <s v="Монтаж телефонов 20,75 шт" u="1"/>
        <s v="Монтаж коммутатора 0,25 шт" u="1"/>
        <s v="Монтаж источников бесперебойного питания 0,75 шт" u="1"/>
        <s v="Монтаж шкафа телекоммуникационного 0,33 шт" u="1"/>
        <s v="Монтаж кабельного органайзера 2,75 шт" u="1"/>
        <s v="Монтаж панели осветительной 0,75 шт" u="1"/>
        <s v="Монтаж полки перфорированной 0,25 шт" u="1"/>
        <s v="Монтаж патч-панелей и патч-кордов 188,33 шт" u="1"/>
        <s v="Монтаж розеток типа NMC 50,5 шт" u="1"/>
        <s v="Монтаж Адаптер DSC-DSC (duplex) 15 шт" u="1"/>
        <s v="Монтаж шкафа телекоммуникационного настенного ШРН-М-12.650.1 0,5 шт" u="1"/>
        <s v="Монтаж коммутатора TFORTIS PSW-2G+UPS-BOX 0,67 шт" u="1"/>
        <s v="Монтаж оптического модуля 1 шт" u="1"/>
        <s v="Монтаж УПМК 0,5 шт" u="1"/>
        <s v="Монтаж коннекторов 12,5 шт" u="1"/>
        <s v="Монтаж сервера 0,33 шт" u="1"/>
        <s v="Разработка грунта вручную" u="1"/>
        <s v="Демонтаж плит перекрытия каналом" u="1"/>
        <s v="Демонтаж трубопровода " u="1"/>
        <s v="Прокладка сети теплоснабжения " u="1"/>
        <s v="Укладка плит перекрытия каналов " u="1"/>
        <s v="Засыпка траншеи песком " u="1"/>
        <s v="Засыпка траншеи местным грунтом" u="1"/>
        <s v="Уплотнение грунта" u="1"/>
        <s v="Разборка: кровель из рулонных материалов; утепление из керамзита; устройство выравнивающей стяжки; примыкания к стенам." u="1"/>
        <s v="Устройство выравнивающих стяжек" u="1"/>
        <s v="Устройство пароизоляции" u="1"/>
        <s v="Изоляция покрытия экструдированным пенополистиролом" u="1"/>
        <s v="Устройство гидроизоляции" u="1"/>
        <s v="Устройство уклоноборазующего слоя из керамзита" u="1"/>
        <s v="Устройство выравнивающих стяжек с армированием металлической сеткой" u="1"/>
        <s v="Огрунтовка основания под кровельный ковер" u="1"/>
        <s v="Устройство кровель плоских из наплавляемых материалов в 2 слоя" u="1"/>
        <s v="Огрунтовка стен под устройство примыканий кровли" u="1"/>
        <s v="Устройство примыканий рулонных кровель к стенам" u="1"/>
        <s v="Устройство временных защитных ограждений" u="1"/>
        <s v="Разборка кровли из: ПВХ мембраны; рулонных материалов и примыканий; демонтаж штукатурного слоя парапета; разборка выравнивающих цементно-песчаных стяжек; разборка теплоизоляционного слоя и слоя керамзита; демонтаж пароизоляционного слоя; демонтаж покрытия парапета; демонтаж стальных опор антенных устройств и молниеотводов, постаментов под технологическое оборудование; демонтаж кровельных воронок." u="1"/>
        <s v="Устройство выравнивающей стяжки" u="1"/>
        <s v="Устройство пароизоляции в один слой" u="1"/>
        <s v="Устройство теплоизоляционного слоя толщиной 150 мм" u="1"/>
        <s v="Устройство пароизоляционного слоя" u="1"/>
        <s v="Устройство уклонообразующей стяжки из керамзита" u="1"/>
        <s v="Устройство выравнивающих стяжек и ремонт наружных стен" u="1"/>
        <s v="Армирование подстилающих слоев" u="1"/>
        <s v="Обработка поверхности битумным праймером" u="1"/>
        <s v="Устройство кровель из наплавляемых материалов в два слоя" u="1"/>
        <s v="Установка аэраторов и водосточных воронок" u="1"/>
        <s v="Ремонт кирпичной кладки парапета" u="1"/>
        <s v="Устройство оснований под штукатурку из металлической сетки" u="1"/>
        <s v="Улучшенная штукатурка фасадов" u="1"/>
        <s v="Огрунтовка оштукатуренных поверхносте парапета" u="1"/>
        <s v="Устройство примыканий рулонных кровель к парапету" u="1"/>
        <s v="Устройство кровель парапета из наплавляемых материалов" u="1"/>
        <s v="Монтаж парапета (устройство рейки 20х40)" u="1"/>
        <s v="Устройство покрытия парапета фанерой" u="1"/>
        <s v="Устройство подкладочного слоя парапета" u="1"/>
        <s v="Устройство карнизных свесов" u="1"/>
        <s v="Устройство покрытия парапета из листовой стали" u="1"/>
        <s v="Устройство покрытий из листовой стали (выходы на кровлю)" u="1"/>
        <s v="Ремонт кирпичной кладки стен выхода на кровлю" u="1"/>
        <s v="Демонтаж дверных блоков" u="1"/>
        <s v="Монтаж противопожарных дверных блоков" u="1"/>
        <s v="Установка и крепление кронштейна к конструкциям здания" u="1"/>
        <s v="Установка направляющих профилей" u="1"/>
        <s v="Установка металлических кассет и углов" u="1"/>
        <s v="Ограждение кровель перилами" u="1"/>
        <s v="Монтаж лестниц стеновых" u="1"/>
        <s v="Монтаж противопрожарных люков" u="1"/>
        <s v="Разборки кровли пристройки здания администрации (черепицы, обрешетки, гидроизоляции, стропил)" u="1"/>
        <s v="Окраска металлической несущей конструкции" u="1"/>
        <s v="Ремонт деревянных элементов кровли и монтаж мембраны" u="1"/>
        <s v="Монтаж сплошного основания из листов OSB 22 мм" u="1"/>
        <s v="Устройство подкладочного ковра" u="1"/>
        <s v="Монтаж фальцевой кровли" u="1"/>
        <s v="Установка каркаса из брусьев для подшивки софитами кровельных свесов" u="1"/>
        <s v="Подшивка свесов кровли софитами" u="1"/>
        <s v="Устройство водосточных воронок" u="1"/>
        <s v="Разборка кровли из: ПВХ мембраны, рулонных материалов, примыканий, цементно-песчаной стяжки, керамзита, пароизоляции. Демонтаж лобовой части козырька, демонтаж подвесного желоба" u="1"/>
        <s v="Устройство уклонообразующего слоя из керамзита" u="1"/>
        <s v="Устройство кровель из наплавляемых материалов" u="1"/>
        <s v="Устройство примыканий к стенам" u="1"/>
        <s v="Установка водосточных воронок" u="1"/>
        <s v="Разборка кровли из: ПВХ мембраны, рулонных материалов и примыканий, разборка выравнивающих цементно-песчаных стяжек, разборка теплоизоляционного слоя и слоя керамзита, демонтаж пароизоляционного слоя. Демонтаж надстройки над пищеблоком: покрытия из профилированного листа, балок, ригелей." u="1"/>
        <s v="Устройство теплоизоляционного слоя 150 мм" u="1"/>
        <s v="Ремонт кирпичной кладки стен отдельными местами (парапеты)" u="1"/>
        <s v="Устройство основания под штукатурку из металлической сетки" u="1"/>
        <s v="Устройство примыканий рулонных кровель к парапетам" u="1"/>
        <s v="Огрунтовка и оклейка парапета в два слоя" u="1"/>
        <s v="Устройство подкладочного ковра парапета" u="1"/>
        <s v="Монтаж стеновой лестницы" u="1"/>
        <s v="Погружение винтовых свай" u="1"/>
        <s v="Бетонированных полых свай" u="1"/>
        <s v="Монтаж оголовков свай" u="1"/>
        <s v="Монтаж двухмаршевой пожарной лестницы" u="1"/>
        <s v="Разборка кровли пристройки здания администрации (покрытия из листовой стали, обрешетки ,контробрешетки, гидроизоляции, утеплителя, праоизоляции)" u="1"/>
        <s v="Устройство пароизоляционной пленки" u="1"/>
        <s v="Ремонт деревянных элементов конструкций крыши" u="1"/>
        <s v="Устройство теплоизоляционного слоя" u="1"/>
        <s v="Устройство гидроизоляционного слоя" u="1"/>
        <s v="Устройство вентиляционного продуха и обрешетки" u="1"/>
        <s v="Монтаж сплошного основания из листов OSB 12мм" u="1"/>
        <s v="Монтаж снегозадежателей" u="1"/>
        <s v="Устройство металлической водосточной системы" u="1"/>
        <s v="Устройство вентилируемого примыкания" u="1"/>
        <s v="Устройство оснований из ОSB " u="1"/>
        <s v="Устройство карнизных свесов карнизами и лобовой доской" u="1"/>
        <s v="Устройство осевых вентиляторов" u="1"/>
        <s v="Облицовка фасада металлосайдингом" u="1"/>
        <s v="Огрунтовка поверхности кладки" u="1"/>
        <s v="Укладка пенополистрирола ППС 35 на разогретый битум" u="1"/>
        <s v="Монтаж заземляющих проводников (открыто)" u="1"/>
        <s v="Разборка покрытия отмостки" u="1"/>
        <s v="Монтаж заземляющих проводников" u="1"/>
        <s v="Приварка проводников к заземлителю" u="1"/>
        <s v="Установка и крепление связей и распорок" u="1"/>
        <s v="Выравнивание поверхности кладки раствором " u="1"/>
        <s v="Установка горизонтального заземлителя молниезащиты" u="1"/>
        <s v="Установка каркаса из бруса" u="1"/>
        <s v="Демонтад лотка 50х50 L=3000 (1,664 т.) вдоль ограждения 602-603 ВДО, НДО НПС &quot;Бородаевка&quot; 133,33333333333334 м" u="1"/>
        <s v="Укладка тротуарной плитки" u="1"/>
        <s v="Затягивание греющего провода в трубы гофрированные для защиты от замерзания трубопроводов" u="1"/>
        <s v="Укладка труб в траншею (закладная гофрированная труба под ввод трубы водоснабжения)" u="1"/>
        <s v="Монтаж дверей корпус 1 секция 3 на отм. -3.501 в осях А-Б/1-3" u="1"/>
        <s v="Демонтад лотка 50х50 L=3000 (1,664 т.) вдоль ограждения 602-603 ВДО, НДО НПС &quot;Бородаевка&quot; 133,33 м" u="1"/>
        <s v="Окраска металлических поверхностей" u="1"/>
        <s v="Монтаж дверей корпус 1 секция 2 на отм. -3.500 в осях А-Б/1-2" u="1"/>
        <s v="Обратная засыпка" u="1"/>
        <s v="Укладка бетонной смеси" u="1"/>
        <s v="Огнезащитная обработка деревянного каркаса" u="1"/>
        <s v="Прорезка отверстий в конструкциях для трубопроводов " u="1"/>
        <s v="Огрунтовка металлических поверхностей" u="1"/>
        <s v="Гидроизоляция обмазочная в два слоя " u="1"/>
        <s v="Настилка покрытий из террасной доски" u="1"/>
        <s v="Ремонт кирпичной кладки" u="1"/>
        <s v="Установка опалубки для устройства железобетонного основания" u="1"/>
        <s v="Улучшенная окраска" u="1"/>
        <s v="Укладка труб в траншею (закладная гофрированная труба под электрический кабель)" u="1"/>
        <s v="Устройство постели" u="1"/>
        <s v="Укладка геотекстиля" u="1"/>
        <s v="Установка бортовых камней" u="1"/>
        <s v="Покрытие свесов листовой сталью" u="1"/>
        <s v="Разработка грунта под электрод заземления" u="1"/>
        <s v="Разработка грунта в траншеях" u="1"/>
        <s v="Монтаж и заглубление заземлителя" u="1"/>
        <s v="Укладка сварной арматурной сетки" u="1"/>
        <s v="Укладка труб в траншею (система водоотведения)" u="1"/>
        <s v="Обшивка стен ЦСП 10мм" u="1"/>
        <s v="Изоляция экструдированным пенополистиролом" u="1"/>
      </sharedItems>
    </cacheField>
    <cacheField name="id_ГП" numFmtId="0">
      <sharedItems containsSemiMixedTypes="0" containsString="0" containsNumber="1" containsInteger="1" minValue="2" maxValue="2" count="1">
        <n v="2"/>
      </sharedItems>
    </cacheField>
    <cacheField name="ФИО" numFmtId="0">
      <sharedItems count="7">
        <s v="Главный инженер ГП Палкин Николай Петрович _x000a__x000a_"/>
        <s v="Производитель работ Семеняченко А.А. _x000a__x000a_" u="1"/>
        <s v="_x000a__x000a_" u="1"/>
        <s v="Прораб отдела ремонтно-строительных работ Управления строительства, проектирования и капитального ремонта Долгополов М.А. _x000a__x000a_" u="1"/>
        <s v="Прораб отдела ремонтно-строительных работ Управления  строительства, проектирования и капитального ремонта Симонян Р.А. _x000a__x000a_" u="1"/>
        <s v="Прораб Велижанин Р.О." u="1"/>
        <s v="Главный инженер ГП Палкин Николай Петрович" u="1"/>
      </sharedItems>
    </cacheField>
    <cacheField name="Даты работ" numFmtId="0">
      <sharedItems containsSemiMixedTypes="0" containsNonDate="0" containsDate="1" containsString="0" minDate="2023-04-14T00:00:00" maxDate="2025-12-01T00:00:00" count="913"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7T00:00:00"/>
        <d v="2024-03-28T00:00:00"/>
        <d v="2024-03-29T00:00:00"/>
        <d v="2024-03-30T00:00:00"/>
        <d v="2024-03-31T00:00:00"/>
        <d v="2024-04-01T00:00:00"/>
        <d v="2023-04-14T00:00:00" u="1"/>
        <d v="2023-04-15T00:00:00" u="1"/>
        <d v="2023-04-16T00:00:00" u="1"/>
        <d v="2023-04-17T00:00:00" u="1"/>
        <d v="2023-04-18T00:00:00" u="1"/>
        <d v="2023-04-19T00:00:00" u="1"/>
        <d v="2023-04-20T00:00:00" u="1"/>
        <d v="2023-04-21T00:00:00" u="1"/>
        <d v="2023-04-22T00:00:00" u="1"/>
        <d v="2023-04-23T00:00:00" u="1"/>
        <d v="2023-04-24T00:00:00" u="1"/>
        <d v="2023-04-25T00:00:00" u="1"/>
        <d v="2023-04-26T00:00:00" u="1"/>
        <d v="2023-04-27T00:00:00" u="1"/>
        <d v="2023-04-28T00:00:00" u="1"/>
        <d v="2023-04-29T00:00:00" u="1"/>
        <d v="2023-04-30T00:00:00" u="1"/>
        <d v="2023-05-01T00:00:00" u="1"/>
        <d v="2023-05-02T00:00:00" u="1"/>
        <d v="2023-05-03T00:00:00" u="1"/>
        <d v="2023-05-04T00:00:00" u="1"/>
        <d v="2023-05-05T00:00:00" u="1"/>
        <d v="2023-05-06T00:00:00" u="1"/>
        <d v="2023-05-07T00:00:00" u="1"/>
        <d v="2023-05-08T00:00:00" u="1"/>
        <d v="2023-05-09T00:00:00" u="1"/>
        <d v="2023-05-10T00:00:00" u="1"/>
        <d v="2023-05-11T00:00:00" u="1"/>
        <d v="2023-05-12T00:00:00" u="1"/>
        <d v="2023-05-13T00:00:00" u="1"/>
        <d v="2023-05-14T00:00:00" u="1"/>
        <d v="2023-05-15T00:00:00" u="1"/>
        <d v="2023-05-16T00:00:00" u="1"/>
        <d v="2023-05-17T00:00:00" u="1"/>
        <d v="2023-05-18T00:00:00" u="1"/>
        <d v="2023-05-19T00:00:00" u="1"/>
        <d v="2023-05-20T00:00:00" u="1"/>
        <d v="2023-05-21T00:00:00" u="1"/>
        <d v="2023-05-22T00:00:00" u="1"/>
        <d v="2023-05-23T00:00:00" u="1"/>
        <d v="2023-05-24T00:00:00" u="1"/>
        <d v="2023-05-25T00:00:00" u="1"/>
        <d v="2023-05-26T00:00:00" u="1"/>
        <d v="2023-05-27T00:00:00" u="1"/>
        <d v="2023-05-28T00:00:00" u="1"/>
        <d v="2023-05-29T00:00:00" u="1"/>
        <d v="2023-05-30T00:00:00" u="1"/>
        <d v="2023-05-31T00:00:00" u="1"/>
        <d v="2023-06-01T00:00:00" u="1"/>
        <d v="2023-06-02T00:00:00" u="1"/>
        <d v="2023-06-03T00:00:00" u="1"/>
        <d v="2023-06-04T00:00:00" u="1"/>
        <d v="2023-06-05T00:00:00" u="1"/>
        <d v="2023-06-06T00:00:00" u="1"/>
        <d v="2023-06-07T00:00:00" u="1"/>
        <d v="2023-06-08T00:00:00" u="1"/>
        <d v="2023-06-09T00:00:00" u="1"/>
        <d v="2023-06-10T00:00:00" u="1"/>
        <d v="2023-06-11T00:00:00" u="1"/>
        <d v="2023-06-12T00:00:00" u="1"/>
        <d v="2023-06-13T00:00:00" u="1"/>
        <d v="2023-06-14T00:00:00" u="1"/>
        <d v="2023-06-15T00:00:00" u="1"/>
        <d v="2023-06-19T00:00:00" u="1"/>
        <d v="2023-06-20T00:00:00" u="1"/>
        <d v="2023-06-21T00:00:00" u="1"/>
        <d v="2023-06-22T00:00:00" u="1"/>
        <d v="2023-06-23T00:00:00" u="1"/>
        <d v="2023-06-24T00:00:00" u="1"/>
        <d v="2023-06-25T00:00:00" u="1"/>
        <d v="2023-06-26T00:00:00" u="1"/>
        <d v="2023-06-27T00:00:00" u="1"/>
        <d v="2023-06-28T00:00:00" u="1"/>
        <d v="2023-06-29T00:00:00" u="1"/>
        <d v="2023-06-30T00:00:00" u="1"/>
        <d v="2023-07-01T00:00:00" u="1"/>
        <d v="2023-07-02T00:00:00" u="1"/>
        <d v="2023-07-03T00:00:00" u="1"/>
        <d v="2023-07-04T00:00:00" u="1"/>
        <d v="2023-07-05T00:00:00" u="1"/>
        <d v="2023-07-06T00:00:00" u="1"/>
        <d v="2023-07-07T00:00:00" u="1"/>
        <d v="2023-07-08T00:00:00" u="1"/>
        <d v="2023-07-09T00:00:00" u="1"/>
        <d v="2023-07-10T00:00:00" u="1"/>
        <d v="2023-07-11T00:00:00" u="1"/>
        <d v="2023-07-12T00:00:00" u="1"/>
        <d v="2023-07-13T00:00:00" u="1"/>
        <d v="2023-07-14T00:00:00" u="1"/>
        <d v="2023-07-15T00:00:00" u="1"/>
        <d v="2023-07-16T00:00:00" u="1"/>
        <d v="2023-07-17T00:00:00" u="1"/>
        <d v="2023-07-18T00:00:00" u="1"/>
        <d v="2023-07-19T00:00:00" u="1"/>
        <d v="2023-07-20T00:00:00" u="1"/>
        <d v="2023-07-21T00:00:00" u="1"/>
        <d v="2023-07-22T00:00:00" u="1"/>
        <d v="2023-07-23T00:00:00" u="1"/>
        <d v="2023-07-24T00:00:00" u="1"/>
        <d v="2023-07-25T00:00:00" u="1"/>
        <d v="2023-07-26T00:00:00" u="1"/>
        <d v="2023-07-27T00:00:00" u="1"/>
        <d v="2023-07-28T00:00:00" u="1"/>
        <d v="2023-07-29T00:00:00" u="1"/>
        <d v="2023-07-30T00:00:00" u="1"/>
        <d v="2023-07-31T00:00:00" u="1"/>
        <d v="2023-08-01T00:00:00" u="1"/>
        <d v="2023-08-02T00:00:00" u="1"/>
        <d v="2023-08-03T00:00:00" u="1"/>
        <d v="2023-08-04T00:00:00" u="1"/>
        <d v="2023-08-05T00:00:00" u="1"/>
        <d v="2023-08-06T00:00:00" u="1"/>
        <d v="2023-08-07T00:00:00" u="1"/>
        <d v="2023-08-08T00:00:00" u="1"/>
        <d v="2023-08-09T00:00:00" u="1"/>
        <d v="2023-08-10T00:00:00" u="1"/>
        <d v="2023-08-11T00:00:00" u="1"/>
        <d v="2023-08-12T00:00:00" u="1"/>
        <d v="2023-08-13T00:00:00" u="1"/>
        <d v="2023-08-14T00:00:00" u="1"/>
        <d v="2023-08-15T00:00:00" u="1"/>
        <d v="2023-08-16T00:00:00" u="1"/>
        <d v="2023-08-17T00:00:00" u="1"/>
        <d v="2023-08-18T00:00:00" u="1"/>
        <d v="2023-08-19T00:00:00" u="1"/>
        <d v="2023-08-20T00:00:00" u="1"/>
        <d v="2023-08-21T00:00:00" u="1"/>
        <d v="2023-08-22T00:00:00" u="1"/>
        <d v="2023-08-23T00:00:00" u="1"/>
        <d v="2023-08-24T00:00:00" u="1"/>
        <d v="2023-08-25T00:00:00" u="1"/>
        <d v="2023-08-26T00:00:00" u="1"/>
        <d v="2023-08-27T00:00:00" u="1"/>
        <d v="2023-08-28T00:00:00" u="1"/>
        <d v="2023-08-29T00:00:00" u="1"/>
        <d v="2023-08-30T00:00:00" u="1"/>
        <d v="2023-08-31T00:00:00" u="1"/>
        <d v="2023-09-01T00:00:00" u="1"/>
        <d v="2023-09-02T00:00:00" u="1"/>
        <d v="2023-09-03T00:00:00" u="1"/>
        <d v="2023-09-04T00:00:00" u="1"/>
        <d v="2023-09-05T00:00:00" u="1"/>
        <d v="2023-09-06T00:00:00" u="1"/>
        <d v="2023-09-07T00:00:00" u="1"/>
        <d v="2023-09-08T00:00:00" u="1"/>
        <d v="2023-09-09T00:00:00" u="1"/>
        <d v="2023-09-10T00:00:00" u="1"/>
        <d v="2023-09-11T00:00:00" u="1"/>
        <d v="2023-09-12T00:00:00" u="1"/>
        <d v="2023-09-13T00:00:00" u="1"/>
        <d v="2023-09-14T00:00:00" u="1"/>
        <d v="2023-09-15T00:00:00" u="1"/>
        <d v="2023-09-16T00:00:00" u="1"/>
        <d v="2023-09-17T00:00:00" u="1"/>
        <d v="2023-09-18T00:00:00" u="1"/>
        <d v="2023-09-19T00:00:00" u="1"/>
        <d v="2023-09-20T00:00:00" u="1"/>
        <d v="2023-09-21T00:00:00" u="1"/>
        <d v="2023-09-22T00:00:00" u="1"/>
        <d v="2023-09-23T00:00:00" u="1"/>
        <d v="2023-09-24T00:00:00" u="1"/>
        <d v="2023-09-25T00:00:00" u="1"/>
        <d v="2023-09-26T00:00:00" u="1"/>
        <d v="2023-09-27T00:00:00" u="1"/>
        <d v="2023-09-28T00:00:00" u="1"/>
        <d v="2023-09-29T00:00:00" u="1"/>
        <d v="2023-09-30T00:00:00" u="1"/>
        <d v="2023-10-01T00:00:00" u="1"/>
        <d v="2023-10-02T00:00:00" u="1"/>
        <d v="2023-10-03T00:00:00" u="1"/>
        <d v="2023-10-04T00:00:00" u="1"/>
        <d v="2023-10-05T00:00:00" u="1"/>
        <d v="2023-10-06T00:00:00" u="1"/>
        <d v="2023-10-07T00:00:00" u="1"/>
        <d v="2023-10-08T00:00:00" u="1"/>
        <d v="2023-10-09T00:00:00" u="1"/>
        <d v="2023-10-10T00:00:00" u="1"/>
        <d v="2023-10-11T00:00:00" u="1"/>
        <d v="2023-10-12T00:00:00" u="1"/>
        <d v="2023-10-13T00:00:00" u="1"/>
        <d v="2023-10-14T00:00:00" u="1"/>
        <d v="2023-10-15T00:00:00" u="1"/>
        <d v="2023-10-16T00:00:00" u="1"/>
        <d v="2023-10-17T00:00:00" u="1"/>
        <d v="2023-10-18T00:00:00" u="1"/>
        <d v="2023-10-19T00:00:00" u="1"/>
        <d v="2023-10-20T00:00:00" u="1"/>
        <d v="2023-10-21T00:00:00" u="1"/>
        <d v="2023-10-22T00:00:00" u="1"/>
        <d v="2023-10-23T00:00:00" u="1"/>
        <d v="2023-10-24T00:00:00" u="1"/>
        <d v="2023-10-25T00:00:00" u="1"/>
        <d v="2023-06-16T00:00:00" u="1"/>
        <d v="2023-06-17T00:00:00" u="1"/>
        <d v="2023-06-18T00:00:00" u="1"/>
        <d v="2024-07-28T00:00:00" u="1"/>
        <d v="2024-07-29T00:00:00" u="1"/>
        <d v="2024-07-30T00:00:00" u="1"/>
        <d v="2024-07-31T00:00:00" u="1"/>
        <d v="2024-08-01T00:00:00" u="1"/>
        <d v="2024-08-02T00:00:00" u="1"/>
        <d v="2024-08-03T00:00:00" u="1"/>
        <d v="2024-08-04T00:00:00" u="1"/>
        <d v="2024-08-05T00:00:00" u="1"/>
        <d v="2024-08-06T00:00:00" u="1"/>
        <d v="2024-08-07T00:00:00" u="1"/>
        <d v="2024-08-08T00:00:00" u="1"/>
        <d v="2024-08-09T00:00:00" u="1"/>
        <d v="2024-08-10T00:00:00" u="1"/>
        <d v="2024-08-11T00:00:00" u="1"/>
        <d v="2024-08-12T00:00:00" u="1"/>
        <d v="2024-08-13T00:00:00" u="1"/>
        <d v="2024-08-14T00:00:00" u="1"/>
        <d v="2024-08-15T00:00:00" u="1"/>
        <d v="2024-08-16T00:00:00" u="1"/>
        <d v="2024-08-17T00:00:00" u="1"/>
        <d v="2024-08-18T00:00:00" u="1"/>
        <d v="2024-08-19T00:00:00" u="1"/>
        <d v="2024-08-20T00:00:00" u="1"/>
        <d v="2024-08-21T00:00:00" u="1"/>
        <d v="2024-08-22T00:00:00" u="1"/>
        <d v="2024-08-23T00:00:00" u="1"/>
        <d v="2024-08-24T00:00:00" u="1"/>
        <d v="2024-08-25T00:00:00" u="1"/>
        <d v="2024-08-26T00:00:00" u="1"/>
        <d v="2024-08-27T00:00:00" u="1"/>
        <d v="2025-01-15T00:00:00" u="1"/>
        <d v="2023-10-26T00:00:00" u="1"/>
        <d v="2023-10-27T00:00:00" u="1"/>
        <d v="2023-10-28T00:00:00" u="1"/>
        <d v="2023-10-29T00:00:00" u="1"/>
        <d v="2023-10-30T00:00:00" u="1"/>
        <d v="2023-10-31T00:00:00" u="1"/>
        <d v="2023-11-01T00:00:00" u="1"/>
        <d v="2023-11-02T00:00:00" u="1"/>
        <d v="2023-11-03T00:00:00" u="1"/>
        <d v="2023-11-04T00:00:00" u="1"/>
        <d v="2023-11-05T00:00:00" u="1"/>
        <d v="2023-11-06T00:00:00" u="1"/>
        <d v="2023-11-07T00:00:00" u="1"/>
        <d v="2023-11-08T00:00:00" u="1"/>
        <d v="2023-11-09T00:00:00" u="1"/>
        <d v="2024-02-02T00:00:00" u="1"/>
        <d v="2024-02-03T00:00:00" u="1"/>
        <d v="2024-02-04T00:00:00" u="1"/>
        <d v="2024-02-05T00:00:00" u="1"/>
        <d v="2024-02-06T00:00:00" u="1"/>
        <d v="2024-02-07T00:00:00" u="1"/>
        <d v="2024-02-08T00:00:00" u="1"/>
        <d v="2024-02-09T00:00:00" u="1"/>
        <d v="2024-02-10T00:00:00" u="1"/>
        <d v="2024-02-11T00:00:00" u="1"/>
        <d v="2024-02-12T00:00:00" u="1"/>
        <d v="2024-02-13T00:00:00" u="1"/>
        <d v="2024-02-14T00:00:00" u="1"/>
        <d v="2024-02-15T00:00:00" u="1"/>
        <d v="2024-02-16T00:00:00" u="1"/>
        <d v="2024-02-17T00:00:00" u="1"/>
        <d v="2024-02-18T00:00:00" u="1"/>
        <d v="2024-02-19T00:00:00" u="1"/>
        <d v="2024-02-20T00:00:00" u="1"/>
        <d v="2024-02-21T00:00:00" u="1"/>
        <d v="2024-02-22T00:00:00" u="1"/>
        <d v="2024-02-23T00:00:00" u="1"/>
        <d v="2024-02-24T00:00:00" u="1"/>
        <d v="2024-02-25T00:00:00" u="1"/>
        <d v="2024-02-26T00:00:00" u="1"/>
        <d v="2024-02-27T00:00:00" u="1"/>
        <d v="2024-02-28T00:00:00" u="1"/>
        <d v="2024-02-29T00:00:00" u="1"/>
        <d v="2024-03-01T00:00:00" u="1"/>
        <d v="2024-03-02T00:00:00" u="1"/>
        <d v="2024-03-03T00:00:00" u="1"/>
        <d v="2024-03-04T00:00:00" u="1"/>
        <d v="2024-03-05T00:00:00" u="1"/>
        <d v="2025-01-04T00:00:00" u="1"/>
        <d v="2025-01-05T00:00:00" u="1"/>
        <d v="2025-01-06T00:00:00" u="1"/>
        <d v="2025-01-07T00:00:00" u="1"/>
        <d v="2025-01-08T00:00:00" u="1"/>
        <d v="2025-01-09T00:00:00" u="1"/>
        <d v="2025-01-10T00:00:00" u="1"/>
        <d v="2025-01-11T00:00:00" u="1"/>
        <d v="2025-01-12T00:00:00" u="1"/>
        <d v="2025-01-13T00:00:00" u="1"/>
        <d v="2025-06-04T00:00:00" u="1"/>
        <d v="2025-06-05T00:00:00" u="1"/>
        <d v="2025-06-06T00:00:00" u="1"/>
        <d v="2025-06-07T00:00:00" u="1"/>
        <d v="2025-06-08T00:00:00" u="1"/>
        <d v="2025-06-09T00:00:00" u="1"/>
        <d v="2025-06-10T00:00:00" u="1"/>
        <d v="2025-06-11T00:00:00" u="1"/>
        <d v="2025-06-12T00:00:00" u="1"/>
        <d v="2025-06-13T00:00:00" u="1"/>
        <d v="2024-05-06T00:00:00" u="1"/>
        <d v="2024-05-07T00:00:00" u="1"/>
        <d v="2024-05-08T00:00:00" u="1"/>
        <d v="2024-05-09T00:00:00" u="1"/>
        <d v="2024-05-10T00:00:00" u="1"/>
        <d v="2024-05-11T00:00:00" u="1"/>
        <d v="2024-05-12T00:00:00" u="1"/>
        <d v="2024-05-13T00:00:00" u="1"/>
        <d v="2024-05-14T00:00:00" u="1"/>
        <d v="2024-05-15T00:00:00" u="1"/>
        <d v="2024-05-16T00:00:00" u="1"/>
        <d v="2024-05-17T00:00:00" u="1"/>
        <d v="2024-05-18T00:00:00" u="1"/>
        <d v="2024-05-19T00:00:00" u="1"/>
        <d v="2024-05-20T00:00:00" u="1"/>
        <d v="2024-05-21T00:00:00" u="1"/>
        <d v="2024-05-22T00:00:00" u="1"/>
        <d v="2024-05-23T00:00:00" u="1"/>
        <d v="2024-05-24T00:00:00" u="1"/>
        <d v="2024-05-25T00:00:00" u="1"/>
        <d v="2024-05-26T00:00:00" u="1"/>
        <d v="2024-05-27T00:00:00" u="1"/>
        <d v="2024-05-28T00:00:00" u="1"/>
        <d v="2024-05-29T00:00:00" u="1"/>
        <d v="2024-05-30T00:00:00" u="1"/>
        <d v="2024-05-31T00:00:00" u="1"/>
        <d v="2024-06-01T00:00:00" u="1"/>
        <d v="2024-06-02T00:00:00" u="1"/>
        <d v="2024-06-03T00:00:00" u="1"/>
        <d v="2024-06-04T00:00:00" u="1"/>
        <d v="2024-06-05T00:00:00" u="1"/>
        <d v="2024-06-06T00:00:00" u="1"/>
        <d v="2024-06-07T00:00:00" u="1"/>
        <d v="2024-06-08T00:00:00" u="1"/>
        <d v="2024-06-09T00:00:00" u="1"/>
        <d v="2024-06-10T00:00:00" u="1"/>
        <d v="2024-06-11T00:00:00" u="1"/>
        <d v="2024-06-12T00:00:00" u="1"/>
        <d v="2024-06-13T00:00:00" u="1"/>
        <d v="2024-06-14T00:00:00" u="1"/>
        <d v="2024-06-15T00:00:00" u="1"/>
        <d v="2024-06-16T00:00:00" u="1"/>
        <d v="2024-06-17T00:00:00" u="1"/>
        <d v="2024-06-18T00:00:00" u="1"/>
        <d v="2024-06-19T00:00:00" u="1"/>
        <d v="2024-06-20T00:00:00" u="1"/>
        <d v="2024-06-21T00:00:00" u="1"/>
        <d v="2024-06-22T00:00:00" u="1"/>
        <d v="2024-06-23T00:00:00" u="1"/>
        <d v="2024-06-24T00:00:00" u="1"/>
        <d v="2024-06-25T00:00:00" u="1"/>
        <d v="2024-06-26T00:00:00" u="1"/>
        <d v="2024-06-27T00:00:00" u="1"/>
        <d v="2024-06-28T00:00:00" u="1"/>
        <d v="2024-06-29T00:00:00" u="1"/>
        <d v="2024-06-30T00:00:00" u="1"/>
        <d v="2024-07-01T00:00:00" u="1"/>
        <d v="2024-07-02T00:00:00" u="1"/>
        <d v="2024-07-03T00:00:00" u="1"/>
        <d v="2024-07-04T00:00:00" u="1"/>
        <d v="2024-07-05T00:00:00" u="1"/>
        <d v="2024-07-06T00:00:00" u="1"/>
        <d v="2024-07-07T00:00:00" u="1"/>
        <d v="2024-07-08T00:00:00" u="1"/>
        <d v="2024-07-09T00:00:00" u="1"/>
        <d v="2024-07-10T00:00:00" u="1"/>
        <d v="2024-07-11T00:00:00" u="1"/>
        <d v="2024-07-12T00:00:00" u="1"/>
        <d v="2024-07-13T00:00:00" u="1"/>
        <d v="2024-07-14T00:00:00" u="1"/>
        <d v="2024-07-15T00:00:00" u="1"/>
        <d v="2024-07-16T00:00:00" u="1"/>
        <d v="2024-07-17T00:00:00" u="1"/>
        <d v="2024-07-18T00:00:00" u="1"/>
        <d v="2024-07-19T00:00:00" u="1"/>
        <d v="2024-07-20T00:00:00" u="1"/>
        <d v="2024-07-21T00:00:00" u="1"/>
        <d v="2024-07-22T00:00:00" u="1"/>
        <d v="2024-07-23T00:00:00" u="1"/>
        <d v="2024-07-24T00:00:00" u="1"/>
        <d v="2024-07-25T00:00:00" u="1"/>
        <d v="2024-07-26T00:00:00" u="1"/>
        <d v="2024-07-27T00:00:00" u="1"/>
        <d v="2024-08-28T00:00:00" u="1"/>
        <d v="2024-08-29T00:00:00" u="1"/>
        <d v="2024-08-30T00:00:00" u="1"/>
        <d v="2024-08-31T00:00:00" u="1"/>
        <d v="2024-09-01T00:00:00" u="1"/>
        <d v="2024-09-02T00:00:00" u="1"/>
        <d v="2024-09-03T00:00:00" u="1"/>
        <d v="2024-09-29T00:00:00" u="1"/>
        <d v="2024-09-30T00:00:00" u="1"/>
        <d v="2024-10-11T00:00:00" u="1"/>
        <d v="2024-10-12T00:00:00" u="1"/>
        <d v="2024-10-13T00:00:00" u="1"/>
        <d v="2024-10-14T00:00:00" u="1"/>
        <d v="2024-10-15T00:00:00" u="1"/>
        <d v="2024-09-04T00:00:00" u="1"/>
        <d v="2024-09-05T00:00:00" u="1"/>
        <d v="2024-09-06T00:00:00" u="1"/>
        <d v="2024-09-07T00:00:00" u="1"/>
        <d v="2024-09-08T00:00:00" u="1"/>
        <d v="2024-09-09T00:00:00" u="1"/>
        <d v="2024-09-10T00:00:00" u="1"/>
        <d v="2024-09-11T00:00:00" u="1"/>
        <d v="2024-09-12T00:00:00" u="1"/>
        <d v="2024-09-13T00:00:00" u="1"/>
        <d v="2024-09-14T00:00:00" u="1"/>
        <d v="2024-09-15T00:00:00" u="1"/>
        <d v="2024-09-16T00:00:00" u="1"/>
        <d v="2024-09-17T00:00:00" u="1"/>
        <d v="2024-09-18T00:00:00" u="1"/>
        <d v="2024-09-19T00:00:00" u="1"/>
        <d v="2024-09-20T00:00:00" u="1"/>
        <d v="2024-09-21T00:00:00" u="1"/>
        <d v="2024-09-22T00:00:00" u="1"/>
        <d v="2024-09-23T00:00:00" u="1"/>
        <d v="2024-09-24T00:00:00" u="1"/>
        <d v="2024-09-25T00:00:00" u="1"/>
        <d v="2024-09-26T00:00:00" u="1"/>
        <d v="2024-09-27T00:00:00" u="1"/>
        <d v="2024-09-28T00:00:00" u="1"/>
        <d v="2024-10-01T00:00:00" u="1"/>
        <d v="2024-10-02T00:00:00" u="1"/>
        <d v="2024-10-03T00:00:00" u="1"/>
        <d v="2024-10-04T00:00:00" u="1"/>
        <d v="2024-10-05T00:00:00" u="1"/>
        <d v="2024-10-06T00:00:00" u="1"/>
        <d v="2024-10-07T00:00:00" u="1"/>
        <d v="2024-10-08T00:00:00" u="1"/>
        <d v="2024-10-09T00:00:00" u="1"/>
        <d v="2024-10-10T00:00:00" u="1"/>
        <d v="2024-10-16T00:00:00" u="1"/>
        <d v="2024-10-17T00:00:00" u="1"/>
        <d v="2024-10-18T00:00:00" u="1"/>
        <d v="2024-10-19T00:00:00" u="1"/>
        <d v="2024-10-20T00:00:00" u="1"/>
        <d v="2024-10-21T00:00:00" u="1"/>
        <d v="2024-10-22T00:00:00" u="1"/>
        <d v="2024-10-23T00:00:00" u="1"/>
        <d v="2024-10-24T00:00:00" u="1"/>
        <d v="2024-10-25T00:00:00" u="1"/>
        <d v="2024-10-26T00:00:00" u="1"/>
        <d v="2024-10-27T00:00:00" u="1"/>
        <d v="2024-10-28T00:00:00" u="1"/>
        <d v="2024-10-29T00:00:00" u="1"/>
        <d v="2024-10-30T00:00:00" u="1"/>
        <d v="2024-10-31T00:00:00" u="1"/>
        <d v="2024-04-29T00:00:00" u="1"/>
        <d v="2024-04-30T00:00:00" u="1"/>
        <d v="2024-05-01T00:00:00" u="1"/>
        <d v="2024-05-02T00:00:00" u="1"/>
        <d v="2024-05-03T00:00:00" u="1"/>
        <d v="2024-05-04T00:00:00" u="1"/>
        <d v="2024-05-05T00:00:00" u="1"/>
        <d v="2023-11-10T00:00:00" u="1"/>
        <d v="2023-11-11T00:00:00" u="1"/>
        <d v="2023-11-12T00:00:00" u="1"/>
        <d v="2023-11-13T00:00:00" u="1"/>
        <d v="2023-11-14T00:00:00" u="1"/>
        <d v="2023-11-15T00:00:00" u="1"/>
        <d v="2023-11-16T00:00:00" u="1"/>
        <d v="2023-11-17T00:00:00" u="1"/>
        <d v="2023-11-18T00:00:00" u="1"/>
        <d v="2023-11-19T00:00:00" u="1"/>
        <d v="2023-11-20T00:00:00" u="1"/>
        <d v="2023-11-21T00:00:00" u="1"/>
        <d v="2023-11-22T00:00:00" u="1"/>
        <d v="2023-11-23T00:00:00" u="1"/>
        <d v="2023-11-24T00:00:00" u="1"/>
        <d v="2023-11-25T00:00:00" u="1"/>
        <d v="2023-11-26T00:00:00" u="1"/>
        <d v="2023-11-27T00:00:00" u="1"/>
        <d v="2023-11-28T00:00:00" u="1"/>
        <d v="2023-11-29T00:00:00" u="1"/>
        <d v="2023-11-30T00:00:00" u="1"/>
        <d v="2023-12-01T00:00:00" u="1"/>
        <d v="2023-12-02T00:00:00" u="1"/>
        <d v="2023-12-03T00:00:00" u="1"/>
        <d v="2023-12-04T00:00:00" u="1"/>
        <d v="2023-12-05T00:00:00" u="1"/>
        <d v="2023-12-06T00:00:00" u="1"/>
        <d v="2023-12-07T00:00:00" u="1"/>
        <d v="2023-12-08T00:00:00" u="1"/>
        <d v="2023-12-09T00:00:00" u="1"/>
        <d v="2023-12-10T00:00:00" u="1"/>
        <d v="2023-12-11T00:00:00" u="1"/>
        <d v="2023-12-12T00:00:00" u="1"/>
        <d v="2023-12-13T00:00:00" u="1"/>
        <d v="2023-12-14T00:00:00" u="1"/>
        <d v="2023-12-15T00:00:00" u="1"/>
        <d v="2023-12-16T00:00:00" u="1"/>
        <d v="2023-12-17T00:00:00" u="1"/>
        <d v="2023-12-18T00:00:00" u="1"/>
        <d v="2023-12-19T00:00:00" u="1"/>
        <d v="2023-12-20T00:00:00" u="1"/>
        <d v="2023-12-21T00:00:00" u="1"/>
        <d v="2023-12-22T00:00:00" u="1"/>
        <d v="2023-12-23T00:00:00" u="1"/>
        <d v="2023-12-24T00:00:00" u="1"/>
        <d v="2023-12-25T00:00:00" u="1"/>
        <d v="2023-12-26T00:00:00" u="1"/>
        <d v="2023-12-27T00:00:00" u="1"/>
        <d v="2023-12-28T00:00:00" u="1"/>
        <d v="2023-12-29T00:00:00" u="1"/>
        <d v="2023-12-30T00:00:00" u="1"/>
        <d v="2023-12-31T00:00:00" u="1"/>
        <d v="2024-01-01T00:00:00" u="1"/>
        <d v="2024-01-02T00:00:00" u="1"/>
        <d v="2024-01-03T00:00:00" u="1"/>
        <d v="2024-01-04T00:00:00" u="1"/>
        <d v="2024-01-05T00:00:00" u="1"/>
        <d v="2024-01-06T00:00:00" u="1"/>
        <d v="2024-01-07T00:00:00" u="1"/>
        <d v="2024-01-08T00:00:00" u="1"/>
        <d v="2024-01-09T00:00:00" u="1"/>
        <d v="2024-01-10T00:00:00" u="1"/>
        <d v="2024-01-11T00:00:00" u="1"/>
        <d v="2024-01-12T00:00:00" u="1"/>
        <d v="2024-01-13T00:00:00" u="1"/>
        <d v="2024-01-14T00:00:00" u="1"/>
        <d v="2024-01-15T00:00:00" u="1"/>
        <d v="2024-01-16T00:00:00" u="1"/>
        <d v="2024-01-17T00:00:00" u="1"/>
        <d v="2024-01-18T00:00:00" u="1"/>
        <d v="2024-01-19T00:00:00" u="1"/>
        <d v="2024-01-20T00:00:00" u="1"/>
        <d v="2024-01-21T00:00:00" u="1"/>
        <d v="2024-01-22T00:00:00" u="1"/>
        <d v="2024-01-23T00:00:00" u="1"/>
        <d v="2024-01-24T00:00:00" u="1"/>
        <d v="2024-01-25T00:00:00" u="1"/>
        <d v="2024-01-26T00:00:00" u="1"/>
        <d v="2024-01-27T00:00:00" u="1"/>
        <d v="2024-01-28T00:00:00" u="1"/>
        <d v="2024-01-29T00:00:00" u="1"/>
        <d v="2024-01-30T00:00:00" u="1"/>
        <d v="2024-01-31T00:00:00" u="1"/>
        <d v="2024-02-01T00:00:00" u="1"/>
        <d v="2024-03-06T00:00:00" u="1"/>
        <d v="2024-03-07T00:00:00" u="1"/>
        <d v="2024-03-08T00:00:00" u="1"/>
        <d v="2025-07-15T00:00:00" u="1"/>
        <d v="2025-03-03T00:00:00" u="1"/>
        <d v="2025-03-04T00:00:00" u="1"/>
        <d v="2025-03-05T00:00:00" u="1"/>
        <d v="2025-03-06T00:00:00" u="1"/>
        <d v="2025-03-07T00:00:00" u="1"/>
        <d v="2025-03-08T00:00:00" u="1"/>
        <d v="2025-03-09T00:00:00" u="1"/>
        <d v="2025-03-10T00:00:00" u="1"/>
        <d v="2025-03-11T00:00:00" u="1"/>
        <d v="2025-05-19T00:00:00" u="1"/>
        <d v="2025-05-20T00:00:00" u="1"/>
        <d v="2025-05-21T00:00:00" u="1"/>
        <d v="2025-05-22T00:00:00" u="1"/>
        <d v="2025-05-23T00:00:00" u="1"/>
        <d v="2025-05-24T00:00:00" u="1"/>
        <d v="2025-05-25T00:00:00" u="1"/>
        <d v="2025-05-26T00:00:00" u="1"/>
        <d v="2025-05-27T00:00:00" u="1"/>
        <d v="2025-05-28T00:00:00" u="1"/>
        <d v="2025-05-29T00:00:00" u="1"/>
        <d v="2025-05-30T00:00:00" u="1"/>
        <d v="2025-05-31T00:00:00" u="1"/>
        <d v="2025-06-01T00:00:00" u="1"/>
        <d v="2025-06-02T00:00:00" u="1"/>
        <d v="2025-06-03T00:00:00" u="1"/>
        <d v="2025-06-14T00:00:00" u="1"/>
        <d v="2025-06-15T00:00:00" u="1"/>
        <d v="2025-06-16T00:00:00" u="1"/>
        <d v="2025-06-17T00:00:00" u="1"/>
        <d v="2025-06-18T00:00:00" u="1"/>
        <d v="2025-06-19T00:00:00" u="1"/>
        <d v="2025-06-20T00:00:00" u="1"/>
        <d v="2025-06-21T00:00:00" u="1"/>
        <d v="2025-06-22T00:00:00" u="1"/>
        <d v="2025-06-23T00:00:00" u="1"/>
        <d v="2025-06-24T00:00:00" u="1"/>
        <d v="2025-06-25T00:00:00" u="1"/>
        <d v="2025-06-26T00:00:00" u="1"/>
        <d v="2025-06-27T00:00:00" u="1"/>
        <d v="2025-06-28T00:00:00" u="1"/>
        <d v="2025-06-29T00:00:00" u="1"/>
        <d v="2025-06-30T00:00:00" u="1"/>
        <d v="2025-07-01T00:00:00" u="1"/>
        <d v="2025-07-02T00:00:00" u="1"/>
        <d v="2025-07-03T00:00:00" u="1"/>
        <d v="2025-07-04T00:00:00" u="1"/>
        <d v="2025-07-05T00:00:00" u="1"/>
        <d v="2025-07-06T00:00:00" u="1"/>
        <d v="2025-07-07T00:00:00" u="1"/>
        <d v="2025-07-08T00:00:00" u="1"/>
        <d v="2025-07-09T00:00:00" u="1"/>
        <d v="2025-07-10T00:00:00" u="1"/>
        <d v="2025-07-11T00:00:00" u="1"/>
        <d v="2025-07-12T00:00:00" u="1"/>
        <d v="2025-07-13T00:00:00" u="1"/>
        <d v="2025-07-14T00:00:00" u="1"/>
        <d v="2025-07-16T00:00:00" u="1"/>
        <d v="2025-07-17T00:00:00" u="1"/>
        <d v="2025-07-18T00:00:00" u="1"/>
        <d v="2025-07-19T00:00:00" u="1"/>
        <d v="2025-07-20T00:00:00" u="1"/>
        <d v="2025-07-21T00:00:00" u="1"/>
        <d v="2025-07-22T00:00:00" u="1"/>
        <d v="2025-07-23T00:00:00" u="1"/>
        <d v="2025-07-24T00:00:00" u="1"/>
        <d v="2025-07-25T00:00:00" u="1"/>
        <d v="2025-07-26T00:00:00" u="1"/>
        <d v="2025-07-27T00:00:00" u="1"/>
        <d v="2025-07-28T00:00:00" u="1"/>
        <d v="2025-07-29T00:00:00" u="1"/>
        <d v="2025-07-30T00:00:00" u="1"/>
        <d v="2025-07-31T00:00:00" u="1"/>
        <d v="2025-08-01T00:00:00" u="1"/>
        <d v="2025-08-02T00:00:00" u="1"/>
        <d v="2025-08-03T00:00:00" u="1"/>
        <d v="2025-08-04T00:00:00" u="1"/>
        <d v="2025-08-05T00:00:00" u="1"/>
        <d v="2025-08-06T00:00:00" u="1"/>
        <d v="2025-08-07T00:00:00" u="1"/>
        <d v="2025-08-08T00:00:00" u="1"/>
        <d v="2025-08-09T00:00:00" u="1"/>
        <d v="2025-08-10T00:00:00" u="1"/>
        <d v="2025-08-11T00:00:00" u="1"/>
        <d v="2025-08-12T00:00:00" u="1"/>
        <d v="2025-08-13T00:00:00" u="1"/>
        <d v="2025-08-14T00:00:00" u="1"/>
        <d v="2025-08-15T00:00:00" u="1"/>
        <d v="2025-08-16T00:00:00" u="1"/>
        <d v="2025-08-17T00:00:00" u="1"/>
        <d v="2025-08-18T00:00:00" u="1"/>
        <d v="2025-08-19T00:00:00" u="1"/>
        <d v="2025-08-20T00:00:00" u="1"/>
        <d v="2025-08-21T00:00:00" u="1"/>
        <d v="2025-08-22T00:00:00" u="1"/>
        <d v="2025-08-23T00:00:00" u="1"/>
        <d v="2025-08-24T00:00:00" u="1"/>
        <d v="2025-08-25T00:00:00" u="1"/>
        <d v="2025-08-26T00:00:00" u="1"/>
        <d v="2025-08-27T00:00:00" u="1"/>
        <d v="2025-08-28T00:00:00" u="1"/>
        <d v="2025-08-29T00:00:00" u="1"/>
        <d v="2025-08-30T00:00:00" u="1"/>
        <d v="2025-08-31T00:00:00" u="1"/>
        <d v="2025-09-01T00:00:00" u="1"/>
        <d v="2025-04-12T00:00:00" u="1"/>
        <d v="2025-04-13T00:00:00" u="1"/>
        <d v="2025-04-14T00:00:00" u="1"/>
        <d v="2025-04-15T00:00:00" u="1"/>
        <d v="2025-04-16T00:00:00" u="1"/>
        <d v="2025-04-17T00:00:00" u="1"/>
        <d v="2025-04-18T00:00:00" u="1"/>
        <d v="2025-04-19T00:00:00" u="1"/>
        <d v="2025-04-20T00:00:00" u="1"/>
        <d v="2025-04-21T00:00:00" u="1"/>
        <d v="2025-04-22T00:00:00" u="1"/>
        <d v="2025-04-23T00:00:00" u="1"/>
        <d v="2025-04-24T00:00:00" u="1"/>
        <d v="2025-04-25T00:00:00" u="1"/>
        <d v="2025-04-26T00:00:00" u="1"/>
        <d v="2025-04-27T00:00:00" u="1"/>
        <d v="2025-04-28T00:00:00" u="1"/>
        <d v="2025-04-29T00:00:00" u="1"/>
        <d v="2025-04-30T00:00:00" u="1"/>
        <d v="2025-05-01T00:00:00" u="1"/>
        <d v="2025-05-02T00:00:00" u="1"/>
        <d v="2025-05-03T00:00:00" u="1"/>
        <d v="2025-05-04T00:00:00" u="1"/>
        <d v="2025-05-05T00:00:00" u="1"/>
        <d v="2025-05-06T00:00:00" u="1"/>
        <d v="2025-05-07T00:00:00" u="1"/>
        <d v="2025-05-08T00:00:00" u="1"/>
        <d v="2025-05-09T00:00:00" u="1"/>
        <d v="2025-05-10T00:00:00" u="1"/>
        <d v="2025-05-11T00:00:00" u="1"/>
        <d v="2025-05-12T00:00:00" u="1"/>
        <d v="2025-05-13T00:00:00" u="1"/>
        <d v="2025-05-14T00:00:00" u="1"/>
        <d v="2025-05-15T00:00:00" u="1"/>
        <d v="2025-05-16T00:00:00" u="1"/>
        <d v="2025-05-17T00:00:00" u="1"/>
        <d v="2025-05-18T00:00:00" u="1"/>
        <d v="2025-09-02T00:00:00" u="1"/>
        <d v="2025-09-03T00:00:00" u="1"/>
        <d v="2025-09-04T00:00:00" u="1"/>
        <d v="2025-09-05T00:00:00" u="1"/>
        <d v="2025-09-06T00:00:00" u="1"/>
        <d v="2025-09-07T00:00:00" u="1"/>
        <d v="2025-09-08T00:00:00" u="1"/>
        <d v="2025-09-09T00:00:00" u="1"/>
        <d v="2025-09-10T00:00:00" u="1"/>
        <d v="2025-09-11T00:00:00" u="1"/>
        <d v="2025-09-12T00:00:00" u="1"/>
        <d v="2025-09-13T00:00:00" u="1"/>
        <d v="2025-09-14T00:00:00" u="1"/>
        <d v="2025-09-15T00:00:00" u="1"/>
        <d v="2025-09-16T00:00:00" u="1"/>
        <d v="2025-09-17T00:00:00" u="1"/>
        <d v="2025-09-18T00:00:00" u="1"/>
        <d v="2025-09-19T00:00:00" u="1"/>
        <d v="2025-09-20T00:00:00" u="1"/>
        <d v="2025-09-21T00:00:00" u="1"/>
        <d v="2025-09-22T00:00:00" u="1"/>
        <d v="2025-09-23T00:00:00" u="1"/>
        <d v="2025-09-24T00:00:00" u="1"/>
        <d v="2025-09-25T00:00:00" u="1"/>
        <d v="2025-09-26T00:00:00" u="1"/>
        <d v="2025-09-27T00:00:00" u="1"/>
        <d v="2025-09-28T00:00:00" u="1"/>
        <d v="2025-09-29T00:00:00" u="1"/>
        <d v="2025-09-30T00:00:00" u="1"/>
        <d v="2025-10-01T00:00:00" u="1"/>
        <d v="2025-10-02T00:00:00" u="1"/>
        <d v="2025-10-03T00:00:00" u="1"/>
        <d v="2025-10-04T00:00:00" u="1"/>
        <d v="2025-10-05T00:00:00" u="1"/>
        <d v="2025-10-06T00:00:00" u="1"/>
        <d v="2025-10-07T00:00:00" u="1"/>
        <d v="2025-10-08T00:00:00" u="1"/>
        <d v="2025-10-09T00:00:00" u="1"/>
        <d v="2025-10-10T00:00:00" u="1"/>
        <d v="2025-10-11T00:00:00" u="1"/>
        <d v="2025-10-12T00:00:00" u="1"/>
        <d v="2025-10-13T00:00:00" u="1"/>
        <d v="2025-10-14T00:00:00" u="1"/>
        <d v="2025-10-15T00:00:00" u="1"/>
        <d v="2025-10-16T00:00:00" u="1"/>
        <d v="2025-10-17T00:00:00" u="1"/>
        <d v="2025-10-18T00:00:00" u="1"/>
        <d v="2025-10-19T00:00:00" u="1"/>
        <d v="2025-10-20T00:00:00" u="1"/>
        <d v="2025-10-21T00:00:00" u="1"/>
        <d v="2025-10-22T00:00:00" u="1"/>
        <d v="2025-10-23T00:00:00" u="1"/>
        <d v="2025-10-24T00:00:00" u="1"/>
        <d v="2025-10-25T00:00:00" u="1"/>
        <d v="2025-10-26T00:00:00" u="1"/>
        <d v="2025-10-27T00:00:00" u="1"/>
        <d v="2025-10-28T00:00:00" u="1"/>
        <d v="2025-10-29T00:00:00" u="1"/>
        <d v="2025-10-30T00:00:00" u="1"/>
        <d v="2025-10-31T00:00:00" u="1"/>
        <d v="2025-11-01T00:00:00" u="1"/>
        <d v="2025-11-02T00:00:00" u="1"/>
        <d v="2025-11-03T00:00:00" u="1"/>
        <d v="2025-11-04T00:00:00" u="1"/>
        <d v="2025-11-05T00:00:00" u="1"/>
        <d v="2025-11-06T00:00:00" u="1"/>
        <d v="2025-11-07T00:00:00" u="1"/>
        <d v="2025-11-08T00:00:00" u="1"/>
        <d v="2025-11-09T00:00:00" u="1"/>
        <d v="2025-11-10T00:00:00" u="1"/>
        <d v="2025-11-11T00:00:00" u="1"/>
        <d v="2025-11-12T00:00:00" u="1"/>
        <d v="2025-11-13T00:00:00" u="1"/>
        <d v="2025-11-14T00:00:00" u="1"/>
        <d v="2025-11-15T00:00:00" u="1"/>
        <d v="2025-11-16T00:00:00" u="1"/>
        <d v="2025-11-17T00:00:00" u="1"/>
        <d v="2025-11-18T00:00:00" u="1"/>
        <d v="2025-11-19T00:00:00" u="1"/>
        <d v="2025-11-20T00:00:00" u="1"/>
        <d v="2025-11-21T00:00:00" u="1"/>
        <d v="2025-11-22T00:00:00" u="1"/>
        <d v="2025-11-23T00:00:00" u="1"/>
        <d v="2025-11-24T00:00:00" u="1"/>
        <d v="2025-11-25T00:00:00" u="1"/>
        <d v="2025-11-26T00:00:00" u="1"/>
        <d v="2025-11-27T00:00:00" u="1"/>
        <d v="2025-11-28T00:00:00" u="1"/>
        <d v="2025-11-29T00:00:00" u="1"/>
        <d v="2025-11-30T00:00:00" u="1"/>
        <d v="2024-11-01T00:00:00" u="1"/>
        <d v="2024-11-02T00:00:00" u="1"/>
        <d v="2024-11-03T00:00:00" u="1"/>
        <d v="2024-11-20T00:00:00" u="1"/>
        <d v="2024-11-21T00:00:00" u="1"/>
        <d v="2024-11-22T00:00:00" u="1"/>
        <d v="2024-11-23T00:00:00" u="1"/>
        <d v="2024-11-24T00:00:00" u="1"/>
        <d v="2024-11-25T00:00:00" u="1"/>
        <d v="2024-11-26T00:00:00" u="1"/>
        <d v="2024-11-27T00:00:00" u="1"/>
        <d v="2024-11-28T00:00:00" u="1"/>
        <d v="2024-11-29T00:00:00" u="1"/>
        <d v="2024-11-30T00:00:00" u="1"/>
        <d v="2024-12-01T00:00:00" u="1"/>
        <d v="2024-12-02T00:00:00" u="1"/>
        <d v="2024-12-03T00:00:00" u="1"/>
        <d v="2024-12-04T00:00:00" u="1"/>
        <d v="2024-12-05T00:00:00" u="1"/>
        <d v="2024-12-06T00:00:00" u="1"/>
        <d v="2024-12-07T00:00:00" u="1"/>
        <d v="2024-12-08T00:00:00" u="1"/>
        <d v="2024-12-09T00:00:00" u="1"/>
        <d v="2024-12-10T00:00:00" u="1"/>
        <d v="2024-12-11T00:00:00" u="1"/>
        <d v="2024-12-12T00:00:00" u="1"/>
        <d v="2024-12-13T00:00:00" u="1"/>
        <d v="2024-12-14T00:00:00" u="1"/>
        <d v="2024-12-15T00:00:00" u="1"/>
        <d v="2024-12-16T00:00:00" u="1"/>
        <d v="2024-12-17T00:00:00" u="1"/>
        <d v="2024-12-18T00:00:00" u="1"/>
        <d v="2024-12-19T00:00:00" u="1"/>
        <d v="2024-12-20T00:00:00" u="1"/>
        <d v="2024-12-21T00:00:00" u="1"/>
        <d v="2024-12-22T00:00:00" u="1"/>
        <d v="2024-12-23T00:00:00" u="1"/>
        <d v="2024-12-24T00:00:00" u="1"/>
        <d v="2024-12-25T00:00:00" u="1"/>
        <d v="2024-12-26T00:00:00" u="1"/>
        <d v="2024-12-27T00:00:00" u="1"/>
        <d v="2024-12-28T00:00:00" u="1"/>
        <d v="2025-01-16T00:00:00" u="1"/>
        <d v="2025-01-17T00:00:00" u="1"/>
        <d v="2025-01-18T00:00:00" u="1"/>
        <d v="2025-01-19T00:00:00" u="1"/>
        <d v="2025-01-20T00:00:00" u="1"/>
        <d v="2024-12-29T00:00:00" u="1"/>
        <d v="2025-01-14T00:00:00" u="1"/>
        <d v="2025-01-21T00:00:00" u="1"/>
        <d v="2025-01-22T00:00:00" u="1"/>
        <d v="2025-01-23T00:00:00" u="1"/>
        <d v="2025-01-24T00:00:00" u="1"/>
        <d v="2025-01-25T00:00:00" u="1"/>
        <d v="2025-01-26T00:00:00" u="1"/>
        <d v="2025-01-27T00:00:00" u="1"/>
        <d v="2025-01-28T00:00:00" u="1"/>
        <d v="2025-01-29T00:00:00" u="1"/>
        <d v="2025-01-30T00:00:00" u="1"/>
        <d v="2025-01-31T00:00:00" u="1"/>
        <d v="2025-02-01T00:00:00" u="1"/>
        <d v="2025-02-02T00:00:00" u="1"/>
        <d v="2025-02-03T00:00:00" u="1"/>
        <d v="2025-02-04T00:00:00" u="1"/>
        <d v="2025-02-05T00:00:00" u="1"/>
        <d v="2025-02-06T00:00:00" u="1"/>
        <d v="2025-02-07T00:00:00" u="1"/>
        <d v="2025-02-08T00:00:00" u="1"/>
        <d v="2025-02-09T00:00:00" u="1"/>
        <d v="2025-02-10T00:00:00" u="1"/>
        <d v="2024-11-04T00:00:00" u="1"/>
        <d v="2024-11-05T00:00:00" u="1"/>
        <d v="2024-11-06T00:00:00" u="1"/>
        <d v="2024-11-07T00:00:00" u="1"/>
        <d v="2024-11-08T00:00:00" u="1"/>
        <d v="2024-11-09T00:00:00" u="1"/>
        <d v="2024-11-10T00:00:00" u="1"/>
        <d v="2024-11-11T00:00:00" u="1"/>
        <d v="2024-11-12T00:00:00" u="1"/>
        <d v="2024-11-13T00:00:00" u="1"/>
        <d v="2024-11-14T00:00:00" u="1"/>
        <d v="2024-11-15T00:00:00" u="1"/>
        <d v="2024-11-16T00:00:00" u="1"/>
        <d v="2024-11-17T00:00:00" u="1"/>
        <d v="2024-11-18T00:00:00" u="1"/>
        <d v="2024-11-19T00:00:00" u="1"/>
        <d v="2024-12-30T00:00:00" u="1"/>
        <d v="2024-12-31T00:00:00" u="1"/>
        <d v="2025-01-01T00:00:00" u="1"/>
        <d v="2025-01-02T00:00:00" u="1"/>
        <d v="2025-01-03T00:00:00" u="1"/>
        <d v="2024-04-02T00:00:00" u="1"/>
        <d v="2024-04-03T00:00:00" u="1"/>
        <d v="2024-04-23T00:00:00" u="1"/>
        <d v="2024-04-24T00:00:00" u="1"/>
        <d v="2024-04-25T00:00:00" u="1"/>
        <d v="2024-04-26T00:00:00" u="1"/>
        <d v="2024-04-27T00:00:00" u="1"/>
        <d v="2024-04-28T00:00:00" u="1"/>
        <d v="2024-03-09T00:00:00" u="1"/>
        <d v="2024-03-10T00:00:00" u="1"/>
        <d v="2024-03-11T00:00:00" u="1"/>
        <d v="2024-03-12T00:00:00" u="1"/>
        <d v="2024-03-13T00:00:00" u="1"/>
        <d v="2024-03-14T00:00:00" u="1"/>
        <d v="2024-03-15T00:00:00" u="1"/>
        <d v="2024-03-16T00:00:00" u="1"/>
        <d v="2024-03-17T00:00:00" u="1"/>
        <d v="2024-04-07T00:00:00" u="1"/>
        <d v="2024-04-08T00:00:00" u="1"/>
        <d v="2024-04-09T00:00:00" u="1"/>
        <d v="2024-04-10T00:00:00" u="1"/>
        <d v="2024-04-04T00:00:00" u="1"/>
        <d v="2024-04-05T00:00:00" u="1"/>
        <d v="2024-04-06T00:00:00" u="1"/>
        <d v="2024-04-13T00:00:00" u="1"/>
        <d v="2024-04-14T00:00:00" u="1"/>
        <d v="2024-04-15T00:00:00" u="1"/>
        <d v="2024-04-16T00:00:00" u="1"/>
        <d v="2024-04-22T00:00:00" u="1"/>
        <d v="2024-04-21T00:00:00" u="1"/>
        <d v="2024-04-11T00:00:00" u="1"/>
        <d v="2024-04-12T00:00:00" u="1"/>
        <d v="2024-04-17T00:00:00" u="1"/>
        <d v="2024-04-18T00:00:00" u="1"/>
        <d v="2024-04-19T00:00:00" u="1"/>
        <d v="2024-04-20T00:00:00" u="1"/>
        <d v="2025-02-12T00:00:00" u="1"/>
        <d v="2025-02-11T00:00:00" u="1"/>
      </sharedItems>
    </cacheField>
    <cacheField name="Пользовательский" numFmtId="0">
      <sharedItems containsBlank="1" count="3">
        <s v="Арматура А500С ГОСТ 34028-2016 - 10мм; Арматура А500С ГОСТ 34028-2016 - 36мм; Проволока 1,2-ОЧ-Моток ГОСТ 3282-74; Бетон B25"/>
        <s v="Бетон B25"/>
        <m/>
      </sharedItems>
    </cacheField>
    <cacheField name="Автоназвание работ и мат" numFmtId="0">
      <sharedItems count="4">
        <s v="Армирование вертикальных конструкций с опалубкой на отм. -0.100, +4.750 в осях 33-34/А'-Б — Арматура А500С ГОСТ 34028-2016 - 10мм; Арматура А500С ГОСТ 34028-2016 - 36мм; Проволока 1,2-ОЧ-Моток ГОСТ 3282-74; Бетон B25"/>
        <s v="Бетонирование вертикальных конструкций на отм. -0.100, +4.750 в осях 33-34/А'-Б — Бетон B25"/>
        <s v="Армирование вертикальных конструкций с опалубкой на отм. -0.100 в осях Г1-Г4/Д1-Д2"/>
        <s v="Бетонирование вертикальных конструкций на отм. -0.100 в осях Г1-Г4/Д1-Д2"/>
      </sharedItems>
    </cacheField>
  </cacheFields>
  <extLst>
    <ext xmlns:x14="http://schemas.microsoft.com/office/spreadsheetml/2009/9/main" uri="{725AE2AE-9491-48be-B2B4-4EB974FC3084}">
      <x14:pivotCacheDefinition pivotCacheId="1350758789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3"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6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7"/>
    <x v="0"/>
    <x v="0"/>
  </r>
  <r>
    <x v="0"/>
    <x v="1"/>
    <x v="1"/>
    <x v="0"/>
    <x v="0"/>
    <x v="0"/>
    <x v="0"/>
    <x v="0"/>
    <x v="0"/>
    <x v="0"/>
    <x v="0"/>
    <x v="1"/>
    <x v="0"/>
    <x v="0"/>
    <x v="0"/>
    <x v="1"/>
    <x v="0"/>
    <x v="0"/>
    <x v="7"/>
    <x v="1"/>
    <x v="1"/>
  </r>
  <r>
    <x v="0"/>
    <x v="2"/>
    <x v="0"/>
    <x v="0"/>
    <x v="0"/>
    <x v="0"/>
    <x v="0"/>
    <x v="0"/>
    <x v="0"/>
    <x v="1"/>
    <x v="1"/>
    <x v="2"/>
    <x v="1"/>
    <x v="0"/>
    <x v="0"/>
    <x v="2"/>
    <x v="0"/>
    <x v="0"/>
    <x v="4"/>
    <x v="2"/>
    <x v="2"/>
  </r>
  <r>
    <x v="0"/>
    <x v="2"/>
    <x v="0"/>
    <x v="0"/>
    <x v="0"/>
    <x v="0"/>
    <x v="0"/>
    <x v="0"/>
    <x v="0"/>
    <x v="1"/>
    <x v="1"/>
    <x v="2"/>
    <x v="1"/>
    <x v="0"/>
    <x v="0"/>
    <x v="2"/>
    <x v="0"/>
    <x v="0"/>
    <x v="5"/>
    <x v="2"/>
    <x v="2"/>
  </r>
  <r>
    <x v="0"/>
    <x v="2"/>
    <x v="0"/>
    <x v="0"/>
    <x v="0"/>
    <x v="0"/>
    <x v="0"/>
    <x v="0"/>
    <x v="0"/>
    <x v="1"/>
    <x v="1"/>
    <x v="2"/>
    <x v="1"/>
    <x v="0"/>
    <x v="0"/>
    <x v="2"/>
    <x v="0"/>
    <x v="0"/>
    <x v="6"/>
    <x v="2"/>
    <x v="2"/>
  </r>
  <r>
    <x v="0"/>
    <x v="2"/>
    <x v="0"/>
    <x v="0"/>
    <x v="0"/>
    <x v="0"/>
    <x v="0"/>
    <x v="0"/>
    <x v="0"/>
    <x v="1"/>
    <x v="1"/>
    <x v="2"/>
    <x v="1"/>
    <x v="0"/>
    <x v="0"/>
    <x v="2"/>
    <x v="0"/>
    <x v="0"/>
    <x v="7"/>
    <x v="2"/>
    <x v="2"/>
  </r>
  <r>
    <x v="0"/>
    <x v="2"/>
    <x v="0"/>
    <x v="0"/>
    <x v="0"/>
    <x v="0"/>
    <x v="0"/>
    <x v="0"/>
    <x v="0"/>
    <x v="1"/>
    <x v="1"/>
    <x v="2"/>
    <x v="1"/>
    <x v="0"/>
    <x v="0"/>
    <x v="2"/>
    <x v="0"/>
    <x v="0"/>
    <x v="8"/>
    <x v="2"/>
    <x v="2"/>
  </r>
  <r>
    <x v="0"/>
    <x v="2"/>
    <x v="0"/>
    <x v="0"/>
    <x v="0"/>
    <x v="0"/>
    <x v="0"/>
    <x v="0"/>
    <x v="0"/>
    <x v="1"/>
    <x v="1"/>
    <x v="2"/>
    <x v="1"/>
    <x v="0"/>
    <x v="0"/>
    <x v="2"/>
    <x v="0"/>
    <x v="0"/>
    <x v="9"/>
    <x v="2"/>
    <x v="2"/>
  </r>
  <r>
    <x v="0"/>
    <x v="2"/>
    <x v="0"/>
    <x v="0"/>
    <x v="0"/>
    <x v="0"/>
    <x v="0"/>
    <x v="0"/>
    <x v="0"/>
    <x v="1"/>
    <x v="1"/>
    <x v="2"/>
    <x v="1"/>
    <x v="0"/>
    <x v="0"/>
    <x v="2"/>
    <x v="0"/>
    <x v="0"/>
    <x v="10"/>
    <x v="2"/>
    <x v="2"/>
  </r>
  <r>
    <x v="0"/>
    <x v="2"/>
    <x v="0"/>
    <x v="0"/>
    <x v="0"/>
    <x v="0"/>
    <x v="0"/>
    <x v="0"/>
    <x v="0"/>
    <x v="1"/>
    <x v="1"/>
    <x v="2"/>
    <x v="1"/>
    <x v="0"/>
    <x v="0"/>
    <x v="2"/>
    <x v="0"/>
    <x v="0"/>
    <x v="11"/>
    <x v="2"/>
    <x v="2"/>
  </r>
  <r>
    <x v="0"/>
    <x v="2"/>
    <x v="0"/>
    <x v="0"/>
    <x v="0"/>
    <x v="0"/>
    <x v="0"/>
    <x v="0"/>
    <x v="0"/>
    <x v="1"/>
    <x v="1"/>
    <x v="2"/>
    <x v="1"/>
    <x v="0"/>
    <x v="0"/>
    <x v="2"/>
    <x v="0"/>
    <x v="0"/>
    <x v="12"/>
    <x v="2"/>
    <x v="2"/>
  </r>
  <r>
    <x v="0"/>
    <x v="2"/>
    <x v="0"/>
    <x v="0"/>
    <x v="0"/>
    <x v="0"/>
    <x v="0"/>
    <x v="0"/>
    <x v="0"/>
    <x v="1"/>
    <x v="1"/>
    <x v="2"/>
    <x v="1"/>
    <x v="0"/>
    <x v="0"/>
    <x v="2"/>
    <x v="0"/>
    <x v="0"/>
    <x v="13"/>
    <x v="2"/>
    <x v="2"/>
  </r>
  <r>
    <x v="0"/>
    <x v="2"/>
    <x v="0"/>
    <x v="0"/>
    <x v="0"/>
    <x v="0"/>
    <x v="0"/>
    <x v="0"/>
    <x v="0"/>
    <x v="1"/>
    <x v="1"/>
    <x v="2"/>
    <x v="1"/>
    <x v="0"/>
    <x v="0"/>
    <x v="2"/>
    <x v="0"/>
    <x v="0"/>
    <x v="14"/>
    <x v="2"/>
    <x v="2"/>
  </r>
  <r>
    <x v="0"/>
    <x v="3"/>
    <x v="1"/>
    <x v="0"/>
    <x v="0"/>
    <x v="0"/>
    <x v="0"/>
    <x v="0"/>
    <x v="0"/>
    <x v="1"/>
    <x v="1"/>
    <x v="3"/>
    <x v="1"/>
    <x v="0"/>
    <x v="0"/>
    <x v="3"/>
    <x v="0"/>
    <x v="0"/>
    <x v="14"/>
    <x v="2"/>
    <x v="3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1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2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3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4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5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6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7"/>
    <x v="0"/>
    <x v="0"/>
  </r>
  <r>
    <x v="1"/>
    <x v="1"/>
    <x v="1"/>
    <x v="0"/>
    <x v="0"/>
    <x v="0"/>
    <x v="0"/>
    <x v="0"/>
    <x v="0"/>
    <x v="0"/>
    <x v="0"/>
    <x v="1"/>
    <x v="0"/>
    <x v="0"/>
    <x v="0"/>
    <x v="1"/>
    <x v="0"/>
    <x v="0"/>
    <x v="7"/>
    <x v="1"/>
    <x v="1"/>
  </r>
  <r>
    <x v="1"/>
    <x v="2"/>
    <x v="0"/>
    <x v="0"/>
    <x v="0"/>
    <x v="0"/>
    <x v="0"/>
    <x v="0"/>
    <x v="0"/>
    <x v="1"/>
    <x v="1"/>
    <x v="2"/>
    <x v="1"/>
    <x v="0"/>
    <x v="0"/>
    <x v="2"/>
    <x v="0"/>
    <x v="0"/>
    <x v="4"/>
    <x v="2"/>
    <x v="2"/>
  </r>
  <r>
    <x v="1"/>
    <x v="2"/>
    <x v="0"/>
    <x v="0"/>
    <x v="0"/>
    <x v="0"/>
    <x v="0"/>
    <x v="0"/>
    <x v="0"/>
    <x v="1"/>
    <x v="1"/>
    <x v="2"/>
    <x v="1"/>
    <x v="0"/>
    <x v="0"/>
    <x v="2"/>
    <x v="0"/>
    <x v="0"/>
    <x v="5"/>
    <x v="2"/>
    <x v="2"/>
  </r>
  <r>
    <x v="1"/>
    <x v="2"/>
    <x v="0"/>
    <x v="0"/>
    <x v="0"/>
    <x v="0"/>
    <x v="0"/>
    <x v="0"/>
    <x v="0"/>
    <x v="1"/>
    <x v="1"/>
    <x v="2"/>
    <x v="1"/>
    <x v="0"/>
    <x v="0"/>
    <x v="2"/>
    <x v="0"/>
    <x v="0"/>
    <x v="6"/>
    <x v="2"/>
    <x v="2"/>
  </r>
  <r>
    <x v="1"/>
    <x v="2"/>
    <x v="0"/>
    <x v="0"/>
    <x v="0"/>
    <x v="0"/>
    <x v="0"/>
    <x v="0"/>
    <x v="0"/>
    <x v="1"/>
    <x v="1"/>
    <x v="2"/>
    <x v="1"/>
    <x v="0"/>
    <x v="0"/>
    <x v="2"/>
    <x v="0"/>
    <x v="0"/>
    <x v="7"/>
    <x v="2"/>
    <x v="2"/>
  </r>
  <r>
    <x v="1"/>
    <x v="2"/>
    <x v="0"/>
    <x v="0"/>
    <x v="0"/>
    <x v="0"/>
    <x v="0"/>
    <x v="0"/>
    <x v="0"/>
    <x v="1"/>
    <x v="1"/>
    <x v="2"/>
    <x v="1"/>
    <x v="0"/>
    <x v="0"/>
    <x v="2"/>
    <x v="0"/>
    <x v="0"/>
    <x v="8"/>
    <x v="2"/>
    <x v="2"/>
  </r>
  <r>
    <x v="1"/>
    <x v="2"/>
    <x v="0"/>
    <x v="0"/>
    <x v="0"/>
    <x v="0"/>
    <x v="0"/>
    <x v="0"/>
    <x v="0"/>
    <x v="1"/>
    <x v="1"/>
    <x v="2"/>
    <x v="1"/>
    <x v="0"/>
    <x v="0"/>
    <x v="2"/>
    <x v="0"/>
    <x v="0"/>
    <x v="9"/>
    <x v="2"/>
    <x v="2"/>
  </r>
  <r>
    <x v="1"/>
    <x v="2"/>
    <x v="0"/>
    <x v="0"/>
    <x v="0"/>
    <x v="0"/>
    <x v="0"/>
    <x v="0"/>
    <x v="0"/>
    <x v="1"/>
    <x v="1"/>
    <x v="2"/>
    <x v="1"/>
    <x v="0"/>
    <x v="0"/>
    <x v="2"/>
    <x v="0"/>
    <x v="0"/>
    <x v="10"/>
    <x v="2"/>
    <x v="2"/>
  </r>
  <r>
    <x v="1"/>
    <x v="2"/>
    <x v="0"/>
    <x v="0"/>
    <x v="0"/>
    <x v="0"/>
    <x v="0"/>
    <x v="0"/>
    <x v="0"/>
    <x v="1"/>
    <x v="1"/>
    <x v="2"/>
    <x v="1"/>
    <x v="0"/>
    <x v="0"/>
    <x v="2"/>
    <x v="0"/>
    <x v="0"/>
    <x v="11"/>
    <x v="2"/>
    <x v="2"/>
  </r>
  <r>
    <x v="1"/>
    <x v="2"/>
    <x v="0"/>
    <x v="0"/>
    <x v="0"/>
    <x v="0"/>
    <x v="0"/>
    <x v="0"/>
    <x v="0"/>
    <x v="1"/>
    <x v="1"/>
    <x v="2"/>
    <x v="1"/>
    <x v="0"/>
    <x v="0"/>
    <x v="2"/>
    <x v="0"/>
    <x v="0"/>
    <x v="12"/>
    <x v="2"/>
    <x v="2"/>
  </r>
  <r>
    <x v="1"/>
    <x v="2"/>
    <x v="0"/>
    <x v="0"/>
    <x v="0"/>
    <x v="0"/>
    <x v="0"/>
    <x v="0"/>
    <x v="0"/>
    <x v="1"/>
    <x v="1"/>
    <x v="2"/>
    <x v="1"/>
    <x v="0"/>
    <x v="0"/>
    <x v="2"/>
    <x v="0"/>
    <x v="0"/>
    <x v="13"/>
    <x v="2"/>
    <x v="2"/>
  </r>
  <r>
    <x v="1"/>
    <x v="2"/>
    <x v="0"/>
    <x v="0"/>
    <x v="0"/>
    <x v="0"/>
    <x v="0"/>
    <x v="0"/>
    <x v="0"/>
    <x v="1"/>
    <x v="1"/>
    <x v="2"/>
    <x v="1"/>
    <x v="0"/>
    <x v="0"/>
    <x v="2"/>
    <x v="0"/>
    <x v="0"/>
    <x v="14"/>
    <x v="2"/>
    <x v="2"/>
  </r>
  <r>
    <x v="1"/>
    <x v="3"/>
    <x v="1"/>
    <x v="0"/>
    <x v="0"/>
    <x v="0"/>
    <x v="0"/>
    <x v="0"/>
    <x v="0"/>
    <x v="1"/>
    <x v="1"/>
    <x v="3"/>
    <x v="1"/>
    <x v="0"/>
    <x v="0"/>
    <x v="3"/>
    <x v="0"/>
    <x v="0"/>
    <x v="14"/>
    <x v="2"/>
    <x v="3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1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2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3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4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5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6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7"/>
    <x v="0"/>
    <x v="0"/>
  </r>
  <r>
    <x v="2"/>
    <x v="1"/>
    <x v="1"/>
    <x v="0"/>
    <x v="0"/>
    <x v="0"/>
    <x v="0"/>
    <x v="0"/>
    <x v="0"/>
    <x v="0"/>
    <x v="0"/>
    <x v="1"/>
    <x v="0"/>
    <x v="0"/>
    <x v="0"/>
    <x v="1"/>
    <x v="0"/>
    <x v="0"/>
    <x v="7"/>
    <x v="1"/>
    <x v="1"/>
  </r>
  <r>
    <x v="2"/>
    <x v="2"/>
    <x v="0"/>
    <x v="0"/>
    <x v="0"/>
    <x v="0"/>
    <x v="0"/>
    <x v="0"/>
    <x v="0"/>
    <x v="1"/>
    <x v="1"/>
    <x v="2"/>
    <x v="1"/>
    <x v="0"/>
    <x v="0"/>
    <x v="2"/>
    <x v="0"/>
    <x v="0"/>
    <x v="4"/>
    <x v="2"/>
    <x v="2"/>
  </r>
  <r>
    <x v="2"/>
    <x v="2"/>
    <x v="0"/>
    <x v="0"/>
    <x v="0"/>
    <x v="0"/>
    <x v="0"/>
    <x v="0"/>
    <x v="0"/>
    <x v="1"/>
    <x v="1"/>
    <x v="2"/>
    <x v="1"/>
    <x v="0"/>
    <x v="0"/>
    <x v="2"/>
    <x v="0"/>
    <x v="0"/>
    <x v="5"/>
    <x v="2"/>
    <x v="2"/>
  </r>
  <r>
    <x v="2"/>
    <x v="2"/>
    <x v="0"/>
    <x v="0"/>
    <x v="0"/>
    <x v="0"/>
    <x v="0"/>
    <x v="0"/>
    <x v="0"/>
    <x v="1"/>
    <x v="1"/>
    <x v="2"/>
    <x v="1"/>
    <x v="0"/>
    <x v="0"/>
    <x v="2"/>
    <x v="0"/>
    <x v="0"/>
    <x v="6"/>
    <x v="2"/>
    <x v="2"/>
  </r>
  <r>
    <x v="2"/>
    <x v="2"/>
    <x v="0"/>
    <x v="0"/>
    <x v="0"/>
    <x v="0"/>
    <x v="0"/>
    <x v="0"/>
    <x v="0"/>
    <x v="1"/>
    <x v="1"/>
    <x v="2"/>
    <x v="1"/>
    <x v="0"/>
    <x v="0"/>
    <x v="2"/>
    <x v="0"/>
    <x v="0"/>
    <x v="7"/>
    <x v="2"/>
    <x v="2"/>
  </r>
  <r>
    <x v="2"/>
    <x v="2"/>
    <x v="0"/>
    <x v="0"/>
    <x v="0"/>
    <x v="0"/>
    <x v="0"/>
    <x v="0"/>
    <x v="0"/>
    <x v="1"/>
    <x v="1"/>
    <x v="2"/>
    <x v="1"/>
    <x v="0"/>
    <x v="0"/>
    <x v="2"/>
    <x v="0"/>
    <x v="0"/>
    <x v="8"/>
    <x v="2"/>
    <x v="2"/>
  </r>
  <r>
    <x v="2"/>
    <x v="2"/>
    <x v="0"/>
    <x v="0"/>
    <x v="0"/>
    <x v="0"/>
    <x v="0"/>
    <x v="0"/>
    <x v="0"/>
    <x v="1"/>
    <x v="1"/>
    <x v="2"/>
    <x v="1"/>
    <x v="0"/>
    <x v="0"/>
    <x v="2"/>
    <x v="0"/>
    <x v="0"/>
    <x v="9"/>
    <x v="2"/>
    <x v="2"/>
  </r>
  <r>
    <x v="2"/>
    <x v="2"/>
    <x v="0"/>
    <x v="0"/>
    <x v="0"/>
    <x v="0"/>
    <x v="0"/>
    <x v="0"/>
    <x v="0"/>
    <x v="1"/>
    <x v="1"/>
    <x v="2"/>
    <x v="1"/>
    <x v="0"/>
    <x v="0"/>
    <x v="2"/>
    <x v="0"/>
    <x v="0"/>
    <x v="10"/>
    <x v="2"/>
    <x v="2"/>
  </r>
  <r>
    <x v="2"/>
    <x v="2"/>
    <x v="0"/>
    <x v="0"/>
    <x v="0"/>
    <x v="0"/>
    <x v="0"/>
    <x v="0"/>
    <x v="0"/>
    <x v="1"/>
    <x v="1"/>
    <x v="2"/>
    <x v="1"/>
    <x v="0"/>
    <x v="0"/>
    <x v="2"/>
    <x v="0"/>
    <x v="0"/>
    <x v="11"/>
    <x v="2"/>
    <x v="2"/>
  </r>
  <r>
    <x v="2"/>
    <x v="2"/>
    <x v="0"/>
    <x v="0"/>
    <x v="0"/>
    <x v="0"/>
    <x v="0"/>
    <x v="0"/>
    <x v="0"/>
    <x v="1"/>
    <x v="1"/>
    <x v="2"/>
    <x v="1"/>
    <x v="0"/>
    <x v="0"/>
    <x v="2"/>
    <x v="0"/>
    <x v="0"/>
    <x v="12"/>
    <x v="2"/>
    <x v="2"/>
  </r>
  <r>
    <x v="2"/>
    <x v="2"/>
    <x v="0"/>
    <x v="0"/>
    <x v="0"/>
    <x v="0"/>
    <x v="0"/>
    <x v="0"/>
    <x v="0"/>
    <x v="1"/>
    <x v="1"/>
    <x v="2"/>
    <x v="1"/>
    <x v="0"/>
    <x v="0"/>
    <x v="2"/>
    <x v="0"/>
    <x v="0"/>
    <x v="13"/>
    <x v="2"/>
    <x v="2"/>
  </r>
  <r>
    <x v="2"/>
    <x v="2"/>
    <x v="0"/>
    <x v="0"/>
    <x v="0"/>
    <x v="0"/>
    <x v="0"/>
    <x v="0"/>
    <x v="0"/>
    <x v="1"/>
    <x v="1"/>
    <x v="2"/>
    <x v="1"/>
    <x v="0"/>
    <x v="0"/>
    <x v="2"/>
    <x v="0"/>
    <x v="0"/>
    <x v="14"/>
    <x v="2"/>
    <x v="2"/>
  </r>
  <r>
    <x v="2"/>
    <x v="3"/>
    <x v="1"/>
    <x v="0"/>
    <x v="0"/>
    <x v="0"/>
    <x v="0"/>
    <x v="0"/>
    <x v="0"/>
    <x v="1"/>
    <x v="1"/>
    <x v="3"/>
    <x v="1"/>
    <x v="0"/>
    <x v="0"/>
    <x v="3"/>
    <x v="0"/>
    <x v="0"/>
    <x v="14"/>
    <x v="2"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Сводная таблица1" cacheId="6" applyNumberFormats="0" applyBorderFormats="0" applyFontFormats="0" applyPatternFormats="0" applyAlignmentFormats="0" applyWidthHeightFormats="1" dataCaption="Значения" updatedVersion="8" minRefreshableVersion="5" showDrill="0" rowGrandTotals="0" colGrandTotals="0" itemPrintTitles="1" createdVersion="8" indent="0" compact="0" compactData="0" multipleFieldFilters="0" fieldListSortAscending="1">
  <location ref="A1:E64" firstHeaderRow="1" firstDataRow="1" firstDataCol="5"/>
  <pivotFields count="21">
    <pivotField axis="axisRow" compact="0" outline="0" subtotalTop="0" showAll="0" defaultSubtotal="0">
      <items count="27">
        <item m="1" x="24"/>
        <item m="1" x="26"/>
        <item m="1" x="23"/>
        <item m="1" x="25"/>
        <item m="1" x="17"/>
        <item m="1" x="18"/>
        <item m="1" x="19"/>
        <item m="1" x="20"/>
        <item m="1" x="21"/>
        <item m="1" x="22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x="0"/>
        <item x="1"/>
        <item x="2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56">
        <item n=" " x="0"/>
        <item m="1" x="1"/>
        <item m="1" x="2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31"/>
        <item m="1" x="32"/>
        <item m="1" x="33"/>
        <item m="1" x="34"/>
        <item m="1" x="35"/>
        <item m="1" x="36"/>
        <item m="1" x="37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56"/>
        <item m="1" x="57"/>
        <item m="1" x="58"/>
        <item m="1" x="59"/>
        <item m="1" x="60"/>
        <item m="1" x="61"/>
        <item m="1" x="62"/>
        <item m="1" x="63"/>
        <item m="1" x="64"/>
        <item m="1" x="65"/>
        <item m="1" x="66"/>
        <item m="1" x="67"/>
        <item m="1" x="68"/>
        <item m="1" x="69"/>
        <item m="1" x="70"/>
        <item m="1" x="71"/>
        <item m="1" x="72"/>
        <item m="1" x="73"/>
        <item m="1" x="74"/>
        <item m="1" x="75"/>
        <item m="1" x="76"/>
        <item m="1" x="77"/>
        <item m="1" x="78"/>
        <item m="1" x="79"/>
        <item m="1" x="80"/>
        <item m="1" x="81"/>
        <item m="1" x="82"/>
        <item m="1" x="83"/>
        <item m="1" x="84"/>
        <item m="1" x="85"/>
        <item m="1" x="86"/>
        <item m="1" x="87"/>
        <item m="1" x="88"/>
        <item m="1" x="89"/>
        <item m="1" x="90"/>
        <item m="1" x="91"/>
        <item m="1" x="92"/>
        <item m="1" x="93"/>
        <item m="1" x="94"/>
        <item m="1" x="95"/>
        <item m="1" x="96"/>
        <item m="1" x="97"/>
        <item m="1" x="98"/>
        <item m="1" x="99"/>
        <item m="1" x="100"/>
        <item m="1" x="101"/>
        <item m="1" x="10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113"/>
        <item m="1" x="114"/>
        <item m="1" x="115"/>
        <item m="1" x="116"/>
        <item m="1" x="117"/>
        <item m="1" x="118"/>
        <item m="1" x="119"/>
        <item m="1" x="120"/>
        <item m="1" x="121"/>
        <item m="1" x="122"/>
        <item m="1" x="123"/>
        <item m="1" x="124"/>
        <item m="1" x="125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602">
        <item m="1" x="572"/>
        <item m="1" x="579"/>
        <item m="1" x="576"/>
        <item m="1" x="577"/>
        <item m="1" x="565"/>
        <item m="1" x="470"/>
        <item m="1" x="477"/>
        <item m="1" x="592"/>
        <item m="1" x="307"/>
        <item m="1" x="601"/>
        <item m="1" x="588"/>
        <item m="1" x="598"/>
        <item m="1" x="581"/>
        <item m="1" x="593"/>
        <item m="1" x="573"/>
        <item m="1" x="595"/>
        <item m="1" x="566"/>
        <item m="1" x="597"/>
        <item m="1" x="567"/>
        <item m="1" x="580"/>
        <item m="1" x="570"/>
        <item m="1" x="564"/>
        <item m="1" x="596"/>
        <item m="1" x="591"/>
        <item m="1" x="583"/>
        <item m="1" x="575"/>
        <item m="1" x="590"/>
        <item m="1" x="599"/>
        <item m="1" x="574"/>
        <item m="1" x="587"/>
        <item m="1" x="569"/>
        <item m="1" x="568"/>
        <item m="1" x="584"/>
        <item m="1" x="578"/>
        <item m="1" x="562"/>
        <item m="1" x="585"/>
        <item m="1" x="563"/>
        <item m="1" x="600"/>
        <item m="1" x="594"/>
        <item m="1" x="561"/>
        <item m="1" x="571"/>
        <item m="1" x="582"/>
        <item m="1" x="589"/>
        <item m="1" x="586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550"/>
        <item m="1" x="551"/>
        <item m="1" x="552"/>
        <item m="1" x="553"/>
        <item m="1" x="554"/>
        <item m="1" x="555"/>
        <item m="1" x="556"/>
        <item m="1" x="557"/>
        <item m="1" x="558"/>
        <item m="1" x="559"/>
        <item m="1" x="560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31"/>
        <item m="1" x="32"/>
        <item m="1" x="33"/>
        <item m="1" x="34"/>
        <item m="1" x="35"/>
        <item m="1" x="36"/>
        <item m="1" x="37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56"/>
        <item m="1" x="57"/>
        <item m="1" x="58"/>
        <item m="1" x="59"/>
        <item m="1" x="60"/>
        <item m="1" x="61"/>
        <item m="1" x="62"/>
        <item m="1" x="63"/>
        <item m="1" x="64"/>
        <item m="1" x="65"/>
        <item m="1" x="66"/>
        <item m="1" x="67"/>
        <item m="1" x="68"/>
        <item m="1" x="69"/>
        <item m="1" x="70"/>
        <item m="1" x="71"/>
        <item m="1" x="72"/>
        <item m="1" x="73"/>
        <item m="1" x="74"/>
        <item m="1" x="75"/>
        <item m="1" x="76"/>
        <item m="1" x="77"/>
        <item m="1" x="78"/>
        <item m="1" x="79"/>
        <item m="1" x="80"/>
        <item m="1" x="81"/>
        <item m="1" x="82"/>
        <item m="1" x="83"/>
        <item m="1" x="84"/>
        <item m="1" x="85"/>
        <item m="1" x="86"/>
        <item m="1" x="87"/>
        <item m="1" x="88"/>
        <item m="1" x="89"/>
        <item m="1" x="90"/>
        <item m="1" x="91"/>
        <item m="1" x="92"/>
        <item m="1" x="93"/>
        <item m="1" x="94"/>
        <item m="1" x="95"/>
        <item m="1" x="96"/>
        <item m="1" x="97"/>
        <item m="1" x="98"/>
        <item m="1" x="99"/>
        <item m="1" x="100"/>
        <item m="1" x="101"/>
        <item m="1" x="10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113"/>
        <item m="1" x="114"/>
        <item m="1" x="115"/>
        <item m="1" x="116"/>
        <item m="1" x="117"/>
        <item m="1" x="118"/>
        <item m="1" x="119"/>
        <item m="1" x="120"/>
        <item m="1" x="121"/>
        <item m="1" x="122"/>
        <item m="1" x="123"/>
        <item m="1" x="124"/>
        <item m="1" x="125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297"/>
        <item m="1" x="298"/>
        <item m="1" x="299"/>
        <item m="1" x="300"/>
        <item m="1" x="301"/>
        <item m="1" x="302"/>
        <item m="1" x="303"/>
        <item m="1" x="304"/>
        <item m="1" x="305"/>
        <item m="1" x="306"/>
        <item m="1" x="308"/>
        <item m="1" x="309"/>
        <item m="1" x="310"/>
        <item m="1" x="311"/>
        <item m="1" x="312"/>
        <item m="1" x="313"/>
        <item m="1" x="314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329"/>
        <item m="1" x="330"/>
        <item m="1" x="331"/>
        <item m="1" x="332"/>
        <item m="1" x="333"/>
        <item m="1" x="334"/>
        <item m="1" x="335"/>
        <item m="1" x="336"/>
        <item m="1" x="337"/>
        <item m="1" x="338"/>
        <item m="1" x="339"/>
        <item m="1" x="340"/>
        <item m="1" x="341"/>
        <item m="1" x="342"/>
        <item m="1" x="343"/>
        <item m="1" x="344"/>
        <item m="1" x="345"/>
        <item m="1" x="346"/>
        <item m="1" x="347"/>
        <item m="1" x="348"/>
        <item m="1" x="349"/>
        <item m="1" x="350"/>
        <item m="1" x="351"/>
        <item m="1" x="352"/>
        <item m="1" x="353"/>
        <item m="1" x="354"/>
        <item m="1" x="355"/>
        <item m="1" x="356"/>
        <item m="1" x="357"/>
        <item m="1" x="358"/>
        <item m="1" x="359"/>
        <item m="1" x="360"/>
        <item m="1" x="361"/>
        <item m="1" x="362"/>
        <item m="1" x="363"/>
        <item m="1" x="364"/>
        <item m="1" x="365"/>
        <item m="1" x="366"/>
        <item m="1" x="367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1"/>
        <item m="1" x="472"/>
        <item m="1" x="473"/>
        <item m="1" x="474"/>
        <item m="1" x="475"/>
        <item m="1" x="476"/>
        <item x="0"/>
        <item x="1"/>
        <item x="2"/>
        <item x="3"/>
      </items>
    </pivotField>
    <pivotField compact="0" outline="0" showAll="0" defaultSubtotal="0"/>
    <pivotField axis="axisRow" compact="0" outline="0" showAll="0" defaultSubtotal="0">
      <items count="7">
        <item m="1" x="6"/>
        <item m="1" x="5"/>
        <item m="1" x="3"/>
        <item m="1" x="4"/>
        <item m="1" x="1"/>
        <item m="1" x="2"/>
        <item x="0"/>
      </items>
    </pivotField>
    <pivotField axis="axisRow" compact="0" outline="0" showAll="0" defaultSubtotal="0">
      <items count="913">
        <item m="1" x="460"/>
        <item m="1" x="461"/>
        <item m="1" x="462"/>
        <item m="1" x="463"/>
        <item m="1" x="464"/>
        <item m="1" x="310"/>
        <item m="1" x="847"/>
        <item m="1" x="848"/>
        <item m="1" x="849"/>
        <item m="1" x="850"/>
        <item m="1" x="851"/>
        <item m="1" x="852"/>
        <item m="1" x="853"/>
        <item m="1" x="912"/>
        <item m="1" x="911"/>
        <item m="1" x="185"/>
        <item m="1" x="186"/>
        <item m="1" x="187"/>
        <item m="1" x="188"/>
        <item m="1" x="190"/>
        <item m="1" x="191"/>
        <item m="1" x="192"/>
        <item m="1" x="193"/>
        <item m="1" x="194"/>
        <item m="1" x="195"/>
        <item m="1" x="202"/>
        <item m="1" x="203"/>
        <item m="1" x="204"/>
        <item m="1" x="205"/>
        <item m="1" x="206"/>
        <item m="1" x="242"/>
        <item m="1" x="183"/>
        <item m="1" x="184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314"/>
        <item m="1" x="315"/>
        <item m="1" x="316"/>
        <item m="1" x="317"/>
        <item m="1" x="318"/>
        <item m="1" x="197"/>
        <item m="1" x="198"/>
        <item m="1" x="199"/>
        <item m="1" x="200"/>
        <item m="1" x="489"/>
        <item m="1" x="490"/>
        <item m="1" x="491"/>
        <item m="1" x="492"/>
        <item m="1" x="377"/>
        <item m="1" x="214"/>
        <item m="1" x="215"/>
        <item m="1" x="216"/>
        <item m="1" x="217"/>
        <item m="1" x="218"/>
        <item m="1" x="219"/>
        <item m="1" x="220"/>
        <item m="1" x="221"/>
        <item m="1" x="395"/>
        <item m="1" x="398"/>
        <item m="1" x="399"/>
        <item m="1" x="407"/>
        <item m="1" x="182"/>
        <item m="1" x="189"/>
        <item m="1" x="196"/>
        <item m="1" x="890"/>
        <item m="1" x="89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m="1" x="875"/>
        <item m="1" x="876"/>
        <item m="1" x="896"/>
        <item m="1" x="897"/>
        <item m="1" x="898"/>
        <item m="1" x="892"/>
        <item m="1" x="893"/>
        <item m="1" x="894"/>
        <item m="1" x="895"/>
        <item m="1" x="905"/>
        <item m="1" x="906"/>
        <item m="1" x="899"/>
        <item m="1" x="900"/>
        <item m="1" x="901"/>
        <item m="1" x="902"/>
        <item m="1" x="907"/>
        <item m="1" x="908"/>
        <item m="1" x="909"/>
        <item m="1" x="910"/>
        <item m="1" x="904"/>
        <item m="1" x="903"/>
        <item m="1" x="877"/>
        <item m="1" x="878"/>
        <item m="1" x="879"/>
        <item m="1" x="880"/>
        <item m="1" x="881"/>
        <item m="1" x="882"/>
        <item m="1" x="458"/>
        <item m="1" x="459"/>
        <item m="1" x="311"/>
        <item m="1" x="312"/>
        <item m="1" x="313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329"/>
        <item m="1" x="330"/>
        <item m="1" x="331"/>
        <item m="1" x="332"/>
        <item m="1" x="333"/>
        <item m="1" x="334"/>
        <item m="1" x="335"/>
        <item m="1" x="336"/>
        <item m="1" x="337"/>
        <item m="1" x="338"/>
        <item m="1" x="339"/>
        <item m="1" x="340"/>
        <item m="1" x="341"/>
        <item m="1" x="342"/>
        <item m="1" x="343"/>
        <item m="1" x="344"/>
        <item m="1" x="345"/>
        <item m="1" x="346"/>
        <item m="1" x="347"/>
        <item m="1" x="348"/>
        <item m="1" x="359"/>
        <item m="1" x="360"/>
        <item m="1" x="361"/>
        <item m="1" x="362"/>
        <item m="1" x="363"/>
        <item m="1" x="364"/>
        <item m="1" x="365"/>
        <item m="1" x="366"/>
        <item m="1" x="367"/>
        <item m="1" x="368"/>
        <item m="1" x="369"/>
        <item m="1" x="383"/>
        <item m="1" x="384"/>
        <item m="1" x="385"/>
        <item m="1" x="386"/>
        <item m="1" x="387"/>
        <item m="1" x="435"/>
        <item m="1" x="436"/>
        <item m="1" x="437"/>
        <item m="1" x="438"/>
        <item m="1" x="439"/>
        <item m="1" x="440"/>
        <item m="1" x="441"/>
        <item m="1" x="402"/>
        <item m="1" x="403"/>
        <item m="1" x="405"/>
        <item m="1" x="406"/>
        <item m="1" x="442"/>
        <item m="1" x="443"/>
        <item m="1" x="444"/>
        <item m="1" x="445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864"/>
        <item m="1" x="866"/>
        <item m="1" x="868"/>
        <item m="1" x="869"/>
        <item m="1" x="787"/>
        <item m="1" x="788"/>
        <item m="1" x="789"/>
        <item m="1" x="790"/>
        <item m="1" x="792"/>
        <item m="1" x="793"/>
        <item m="1" x="794"/>
        <item m="1" x="795"/>
        <item m="1" x="796"/>
        <item m="1" x="813"/>
        <item m="1" x="349"/>
        <item m="1" x="357"/>
        <item m="1" x="201"/>
        <item m="1" x="243"/>
        <item m="1" x="244"/>
        <item m="1" x="245"/>
        <item m="1" x="246"/>
        <item m="1" x="247"/>
        <item m="1" x="248"/>
        <item m="1" x="249"/>
        <item m="1" x="250"/>
        <item m="1" x="251"/>
        <item m="1" x="252"/>
        <item m="1" x="253"/>
        <item m="1" x="254"/>
        <item m="1" x="255"/>
        <item m="1" x="256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889"/>
        <item m="1" x="285"/>
        <item m="1" x="286"/>
        <item m="1" x="287"/>
        <item m="1" x="288"/>
        <item m="1" x="551"/>
        <item m="1" x="883"/>
        <item m="1" x="885"/>
        <item m="1" x="886"/>
        <item m="1" x="404"/>
        <item m="1" x="446"/>
        <item m="1" x="800"/>
        <item m="1" x="801"/>
        <item m="1" x="802"/>
        <item m="1" x="803"/>
        <item m="1" x="804"/>
        <item m="1" x="805"/>
        <item m="1" x="806"/>
        <item m="1" x="807"/>
        <item m="1" x="808"/>
        <item m="1" x="809"/>
        <item m="1" x="810"/>
        <item m="1" x="289"/>
        <item m="1" x="549"/>
        <item m="1" x="550"/>
        <item m="1" x="884"/>
        <item m="1" x="887"/>
        <item m="1" x="888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31"/>
        <item m="1" x="32"/>
        <item m="1" x="33"/>
        <item m="1" x="34"/>
        <item m="1" x="35"/>
        <item m="1" x="36"/>
        <item m="1" x="37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56"/>
        <item m="1" x="57"/>
        <item m="1" x="58"/>
        <item m="1" x="59"/>
        <item m="1" x="60"/>
        <item m="1" x="61"/>
        <item m="1" x="62"/>
        <item m="1" x="63"/>
        <item m="1" x="64"/>
        <item m="1" x="65"/>
        <item m="1" x="66"/>
        <item m="1" x="67"/>
        <item m="1" x="68"/>
        <item m="1" x="69"/>
        <item m="1" x="70"/>
        <item m="1" x="71"/>
        <item m="1" x="72"/>
        <item m="1" x="73"/>
        <item m="1" x="74"/>
        <item m="1" x="75"/>
        <item m="1" x="76"/>
        <item m="1" x="77"/>
        <item m="1" x="78"/>
        <item m="1" x="79"/>
        <item m="1" x="80"/>
        <item m="1" x="81"/>
        <item m="1" x="82"/>
        <item m="1" x="83"/>
        <item m="1" x="84"/>
        <item m="1" x="85"/>
        <item m="1" x="86"/>
        <item m="1" x="87"/>
        <item m="1" x="88"/>
        <item m="1" x="89"/>
        <item m="1" x="90"/>
        <item m="1" x="91"/>
        <item m="1" x="92"/>
        <item m="1" x="93"/>
        <item m="1" x="94"/>
        <item m="1" x="95"/>
        <item m="1" x="96"/>
        <item m="1" x="97"/>
        <item m="1" x="98"/>
        <item m="1" x="99"/>
        <item m="1" x="100"/>
        <item m="1" x="101"/>
        <item m="1" x="10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113"/>
        <item m="1" x="114"/>
        <item m="1" x="115"/>
        <item m="1" x="116"/>
        <item m="1" x="117"/>
        <item m="1" x="118"/>
        <item m="1" x="119"/>
        <item m="1" x="120"/>
        <item m="1" x="121"/>
        <item m="1" x="122"/>
        <item m="1" x="123"/>
        <item m="1" x="124"/>
        <item m="1" x="125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68"/>
        <item m="1" x="169"/>
        <item m="1" x="170"/>
        <item m="1" x="181"/>
        <item m="1" x="207"/>
        <item m="1" x="208"/>
        <item m="1" x="209"/>
        <item m="1" x="210"/>
        <item m="1" x="211"/>
        <item m="1" x="212"/>
        <item m="1" x="213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90"/>
        <item m="1" x="291"/>
        <item m="1" x="292"/>
        <item m="1" x="293"/>
        <item m="1" x="294"/>
        <item m="1" x="295"/>
        <item m="1" x="296"/>
        <item m="1" x="297"/>
        <item m="1" x="298"/>
        <item m="1" x="299"/>
        <item m="1" x="300"/>
        <item m="1" x="301"/>
        <item m="1" x="302"/>
        <item m="1" x="303"/>
        <item m="1" x="304"/>
        <item m="1" x="305"/>
        <item m="1" x="306"/>
        <item m="1" x="307"/>
        <item m="1" x="308"/>
        <item m="1" x="309"/>
        <item m="1" x="350"/>
        <item m="1" x="351"/>
        <item m="1" x="352"/>
        <item m="1" x="353"/>
        <item m="1" x="354"/>
        <item m="1" x="355"/>
        <item m="1" x="356"/>
        <item m="1" x="358"/>
        <item m="1" x="370"/>
        <item m="1" x="371"/>
        <item m="1" x="372"/>
        <item m="1" x="373"/>
        <item m="1" x="374"/>
        <item m="1" x="375"/>
        <item m="1" x="376"/>
        <item m="1" x="378"/>
        <item m="1" x="379"/>
        <item m="1" x="380"/>
        <item m="1" x="381"/>
        <item m="1" x="382"/>
        <item m="1" x="388"/>
        <item m="1" x="389"/>
        <item m="1" x="390"/>
        <item m="1" x="391"/>
        <item m="1" x="392"/>
        <item m="1" x="393"/>
        <item m="1" x="394"/>
        <item m="1" x="396"/>
        <item m="1" x="397"/>
        <item m="1" x="400"/>
        <item m="1" x="401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52"/>
        <item m="1" x="553"/>
        <item m="1" x="554"/>
        <item m="1" x="555"/>
        <item m="1" x="556"/>
        <item m="1" x="557"/>
        <item m="1" x="558"/>
        <item m="1" x="559"/>
        <item m="1" x="560"/>
        <item m="1" x="561"/>
        <item m="1" x="562"/>
        <item m="1" x="563"/>
        <item m="1" x="564"/>
        <item m="1" x="565"/>
        <item m="1" x="566"/>
        <item m="1" x="567"/>
        <item m="1" x="568"/>
        <item m="1" x="569"/>
        <item m="1" x="570"/>
        <item m="1" x="571"/>
        <item m="1" x="572"/>
        <item m="1" x="573"/>
        <item m="1" x="574"/>
        <item m="1" x="575"/>
        <item m="1" x="576"/>
        <item m="1" x="577"/>
        <item m="1" x="578"/>
        <item m="1" x="579"/>
        <item m="1" x="580"/>
        <item m="1" x="581"/>
        <item m="1" x="582"/>
        <item m="1" x="583"/>
        <item m="1" x="584"/>
        <item m="1" x="585"/>
        <item m="1" x="586"/>
        <item m="1" x="587"/>
        <item m="1" x="588"/>
        <item m="1" x="589"/>
        <item m="1" x="590"/>
        <item m="1" x="591"/>
        <item m="1" x="592"/>
        <item m="1" x="593"/>
        <item m="1" x="594"/>
        <item m="1" x="595"/>
        <item m="1" x="596"/>
        <item m="1" x="597"/>
        <item m="1" x="598"/>
        <item m="1" x="599"/>
        <item m="1" x="600"/>
        <item m="1" x="601"/>
        <item m="1" x="602"/>
        <item m="1" x="603"/>
        <item m="1" x="604"/>
        <item m="1" x="605"/>
        <item m="1" x="606"/>
        <item m="1" x="607"/>
        <item m="1" x="608"/>
        <item m="1" x="609"/>
        <item m="1" x="610"/>
        <item m="1" x="611"/>
        <item m="1" x="612"/>
        <item m="1" x="613"/>
        <item m="1" x="614"/>
        <item m="1" x="615"/>
        <item m="1" x="616"/>
        <item m="1" x="617"/>
        <item m="1" x="618"/>
        <item m="1" x="619"/>
        <item m="1" x="620"/>
        <item m="1" x="621"/>
        <item m="1" x="622"/>
        <item m="1" x="623"/>
        <item m="1" x="624"/>
        <item m="1" x="625"/>
        <item m="1" x="626"/>
        <item m="1" x="627"/>
        <item m="1" x="628"/>
        <item m="1" x="629"/>
        <item m="1" x="630"/>
        <item m="1" x="631"/>
        <item m="1" x="632"/>
        <item m="1" x="633"/>
        <item m="1" x="634"/>
        <item m="1" x="635"/>
        <item m="1" x="636"/>
        <item m="1" x="637"/>
        <item m="1" x="638"/>
        <item m="1" x="639"/>
        <item m="1" x="640"/>
        <item m="1" x="641"/>
        <item m="1" x="642"/>
        <item m="1" x="643"/>
        <item m="1" x="644"/>
        <item m="1" x="645"/>
        <item m="1" x="646"/>
        <item m="1" x="647"/>
        <item m="1" x="648"/>
        <item m="1" x="649"/>
        <item m="1" x="650"/>
        <item m="1" x="651"/>
        <item m="1" x="652"/>
        <item m="1" x="653"/>
        <item m="1" x="654"/>
        <item m="1" x="655"/>
        <item m="1" x="656"/>
        <item m="1" x="657"/>
        <item m="1" x="658"/>
        <item m="1" x="659"/>
        <item m="1" x="660"/>
        <item m="1" x="661"/>
        <item m="1" x="662"/>
        <item m="1" x="663"/>
        <item m="1" x="664"/>
        <item m="1" x="665"/>
        <item m="1" x="666"/>
        <item m="1" x="667"/>
        <item m="1" x="668"/>
        <item m="1" x="669"/>
        <item m="1" x="670"/>
        <item m="1" x="671"/>
        <item m="1" x="672"/>
        <item m="1" x="673"/>
        <item m="1" x="674"/>
        <item m="1" x="675"/>
        <item m="1" x="676"/>
        <item m="1" x="677"/>
        <item m="1" x="678"/>
        <item m="1" x="679"/>
        <item m="1" x="680"/>
        <item m="1" x="681"/>
        <item m="1" x="682"/>
        <item m="1" x="683"/>
        <item m="1" x="684"/>
        <item m="1" x="685"/>
        <item m="1" x="686"/>
        <item m="1" x="687"/>
        <item m="1" x="688"/>
        <item m="1" x="689"/>
        <item m="1" x="690"/>
        <item m="1" x="691"/>
        <item m="1" x="692"/>
        <item m="1" x="693"/>
        <item m="1" x="694"/>
        <item m="1" x="695"/>
        <item m="1" x="696"/>
        <item m="1" x="697"/>
        <item m="1" x="698"/>
        <item m="1" x="699"/>
        <item m="1" x="700"/>
        <item m="1" x="701"/>
        <item m="1" x="702"/>
        <item m="1" x="703"/>
        <item m="1" x="704"/>
        <item m="1" x="705"/>
        <item m="1" x="706"/>
        <item m="1" x="707"/>
        <item m="1" x="708"/>
        <item m="1" x="709"/>
        <item m="1" x="710"/>
        <item m="1" x="711"/>
        <item m="1" x="712"/>
        <item m="1" x="713"/>
        <item m="1" x="714"/>
        <item m="1" x="715"/>
        <item m="1" x="716"/>
        <item m="1" x="717"/>
        <item m="1" x="718"/>
        <item m="1" x="719"/>
        <item m="1" x="720"/>
        <item m="1" x="721"/>
        <item m="1" x="722"/>
        <item m="1" x="723"/>
        <item m="1" x="724"/>
        <item m="1" x="725"/>
        <item m="1" x="726"/>
        <item m="1" x="727"/>
        <item m="1" x="728"/>
        <item m="1" x="729"/>
        <item m="1" x="730"/>
        <item m="1" x="731"/>
        <item m="1" x="732"/>
        <item m="1" x="733"/>
        <item m="1" x="734"/>
        <item m="1" x="735"/>
        <item m="1" x="736"/>
        <item m="1" x="737"/>
        <item m="1" x="738"/>
        <item m="1" x="739"/>
        <item m="1" x="740"/>
        <item m="1" x="741"/>
        <item m="1" x="742"/>
        <item m="1" x="743"/>
        <item m="1" x="744"/>
        <item m="1" x="745"/>
        <item m="1" x="746"/>
        <item m="1" x="747"/>
        <item m="1" x="748"/>
        <item m="1" x="749"/>
        <item m="1" x="750"/>
        <item m="1" x="751"/>
        <item m="1" x="752"/>
        <item m="1" x="753"/>
        <item m="1" x="754"/>
        <item m="1" x="755"/>
        <item m="1" x="756"/>
        <item m="1" x="757"/>
        <item m="1" x="758"/>
        <item m="1" x="759"/>
        <item m="1" x="760"/>
        <item m="1" x="761"/>
        <item m="1" x="762"/>
        <item m="1" x="763"/>
        <item m="1" x="764"/>
        <item m="1" x="765"/>
        <item m="1" x="766"/>
        <item m="1" x="767"/>
        <item m="1" x="768"/>
        <item m="1" x="769"/>
        <item m="1" x="770"/>
        <item m="1" x="771"/>
        <item m="1" x="772"/>
        <item m="1" x="773"/>
        <item m="1" x="774"/>
        <item m="1" x="775"/>
        <item m="1" x="776"/>
        <item m="1" x="777"/>
        <item m="1" x="778"/>
        <item m="1" x="779"/>
        <item m="1" x="780"/>
        <item m="1" x="781"/>
        <item m="1" x="782"/>
        <item m="1" x="783"/>
        <item m="1" x="784"/>
        <item m="1" x="785"/>
        <item m="1" x="786"/>
        <item m="1" x="791"/>
        <item m="1" x="797"/>
        <item m="1" x="798"/>
        <item m="1" x="799"/>
        <item m="1" x="811"/>
        <item m="1" x="812"/>
        <item m="1" x="814"/>
        <item m="1" x="815"/>
        <item m="1" x="816"/>
        <item m="1" x="817"/>
        <item m="1" x="818"/>
        <item m="1" x="819"/>
        <item m="1" x="820"/>
        <item m="1" x="821"/>
        <item m="1" x="822"/>
        <item m="1" x="823"/>
        <item m="1" x="824"/>
        <item m="1" x="825"/>
        <item m="1" x="826"/>
        <item m="1" x="827"/>
        <item m="1" x="828"/>
        <item m="1" x="829"/>
        <item m="1" x="830"/>
        <item m="1" x="831"/>
        <item m="1" x="832"/>
        <item m="1" x="833"/>
        <item m="1" x="834"/>
        <item m="1" x="835"/>
        <item m="1" x="836"/>
        <item m="1" x="837"/>
        <item m="1" x="838"/>
        <item m="1" x="839"/>
        <item m="1" x="840"/>
        <item m="1" x="841"/>
        <item m="1" x="842"/>
        <item m="1" x="843"/>
        <item m="1" x="844"/>
        <item m="1" x="845"/>
        <item m="1" x="846"/>
        <item m="1" x="854"/>
        <item m="1" x="855"/>
        <item m="1" x="856"/>
        <item m="1" x="857"/>
        <item m="1" x="858"/>
        <item m="1" x="859"/>
        <item m="1" x="860"/>
        <item m="1" x="861"/>
        <item m="1" x="862"/>
        <item m="1" x="863"/>
        <item m="1" x="865"/>
        <item m="1" x="867"/>
        <item m="1" x="870"/>
        <item m="1" x="871"/>
        <item m="1" x="872"/>
        <item m="1" x="873"/>
        <item m="1" x="874"/>
      </items>
    </pivotField>
    <pivotField compact="0" outline="0" showAll="0" defaultSubtotal="0"/>
    <pivotField compact="0" outline="0" showAll="0" defaultSubtotal="0"/>
  </pivotFields>
  <rowFields count="5">
    <field x="18"/>
    <field x="0"/>
    <field x="3"/>
    <field x="15"/>
    <field x="17"/>
  </rowFields>
  <rowItems count="63">
    <i>
      <x v="89"/>
      <x v="24"/>
      <x/>
      <x v="598"/>
      <x v="6"/>
    </i>
    <i r="1">
      <x v="25"/>
      <x/>
      <x v="598"/>
      <x v="6"/>
    </i>
    <i r="1">
      <x v="26"/>
      <x/>
      <x v="598"/>
      <x v="6"/>
    </i>
    <i>
      <x v="90"/>
      <x v="24"/>
      <x/>
      <x v="598"/>
      <x v="6"/>
    </i>
    <i r="1">
      <x v="25"/>
      <x/>
      <x v="598"/>
      <x v="6"/>
    </i>
    <i r="1">
      <x v="26"/>
      <x/>
      <x v="598"/>
      <x v="6"/>
    </i>
    <i>
      <x v="91"/>
      <x v="24"/>
      <x/>
      <x v="598"/>
      <x v="6"/>
    </i>
    <i r="1">
      <x v="25"/>
      <x/>
      <x v="598"/>
      <x v="6"/>
    </i>
    <i r="1">
      <x v="26"/>
      <x/>
      <x v="598"/>
      <x v="6"/>
    </i>
    <i>
      <x v="92"/>
      <x v="24"/>
      <x/>
      <x v="598"/>
      <x v="6"/>
    </i>
    <i r="1">
      <x v="25"/>
      <x/>
      <x v="598"/>
      <x v="6"/>
    </i>
    <i r="1">
      <x v="26"/>
      <x/>
      <x v="598"/>
      <x v="6"/>
    </i>
    <i>
      <x v="93"/>
      <x v="24"/>
      <x/>
      <x v="598"/>
      <x v="6"/>
    </i>
    <i r="3">
      <x v="600"/>
      <x v="6"/>
    </i>
    <i r="1">
      <x v="25"/>
      <x/>
      <x v="598"/>
      <x v="6"/>
    </i>
    <i r="3">
      <x v="600"/>
      <x v="6"/>
    </i>
    <i r="1">
      <x v="26"/>
      <x/>
      <x v="598"/>
      <x v="6"/>
    </i>
    <i r="3">
      <x v="600"/>
      <x v="6"/>
    </i>
    <i>
      <x v="94"/>
      <x v="24"/>
      <x/>
      <x v="598"/>
      <x v="6"/>
    </i>
    <i r="3">
      <x v="600"/>
      <x v="6"/>
    </i>
    <i r="1">
      <x v="25"/>
      <x/>
      <x v="598"/>
      <x v="6"/>
    </i>
    <i r="3">
      <x v="600"/>
      <x v="6"/>
    </i>
    <i r="1">
      <x v="26"/>
      <x/>
      <x v="598"/>
      <x v="6"/>
    </i>
    <i r="3">
      <x v="600"/>
      <x v="6"/>
    </i>
    <i>
      <x v="95"/>
      <x v="24"/>
      <x/>
      <x v="598"/>
      <x v="6"/>
    </i>
    <i r="3">
      <x v="600"/>
      <x v="6"/>
    </i>
    <i r="1">
      <x v="25"/>
      <x/>
      <x v="598"/>
      <x v="6"/>
    </i>
    <i r="3">
      <x v="600"/>
      <x v="6"/>
    </i>
    <i r="1">
      <x v="26"/>
      <x/>
      <x v="598"/>
      <x v="6"/>
    </i>
    <i r="3">
      <x v="600"/>
      <x v="6"/>
    </i>
    <i>
      <x v="96"/>
      <x v="24"/>
      <x/>
      <x v="598"/>
      <x v="6"/>
    </i>
    <i r="3">
      <x v="599"/>
      <x v="6"/>
    </i>
    <i r="3">
      <x v="600"/>
      <x v="6"/>
    </i>
    <i r="1">
      <x v="25"/>
      <x/>
      <x v="598"/>
      <x v="6"/>
    </i>
    <i r="3">
      <x v="599"/>
      <x v="6"/>
    </i>
    <i r="3">
      <x v="600"/>
      <x v="6"/>
    </i>
    <i r="1">
      <x v="26"/>
      <x/>
      <x v="598"/>
      <x v="6"/>
    </i>
    <i r="3">
      <x v="599"/>
      <x v="6"/>
    </i>
    <i r="3">
      <x v="600"/>
      <x v="6"/>
    </i>
    <i>
      <x v="97"/>
      <x v="24"/>
      <x/>
      <x v="600"/>
      <x v="6"/>
    </i>
    <i r="1">
      <x v="25"/>
      <x/>
      <x v="600"/>
      <x v="6"/>
    </i>
    <i r="1">
      <x v="26"/>
      <x/>
      <x v="600"/>
      <x v="6"/>
    </i>
    <i>
      <x v="98"/>
      <x v="24"/>
      <x/>
      <x v="600"/>
      <x v="6"/>
    </i>
    <i r="1">
      <x v="25"/>
      <x/>
      <x v="600"/>
      <x v="6"/>
    </i>
    <i r="1">
      <x v="26"/>
      <x/>
      <x v="600"/>
      <x v="6"/>
    </i>
    <i>
      <x v="99"/>
      <x v="24"/>
      <x/>
      <x v="600"/>
      <x v="6"/>
    </i>
    <i r="1">
      <x v="25"/>
      <x/>
      <x v="600"/>
      <x v="6"/>
    </i>
    <i r="1">
      <x v="26"/>
      <x/>
      <x v="600"/>
      <x v="6"/>
    </i>
    <i>
      <x v="100"/>
      <x v="24"/>
      <x/>
      <x v="600"/>
      <x v="6"/>
    </i>
    <i r="1">
      <x v="25"/>
      <x/>
      <x v="600"/>
      <x v="6"/>
    </i>
    <i r="1">
      <x v="26"/>
      <x/>
      <x v="600"/>
      <x v="6"/>
    </i>
    <i>
      <x v="101"/>
      <x v="24"/>
      <x/>
      <x v="600"/>
      <x v="6"/>
    </i>
    <i r="1">
      <x v="25"/>
      <x/>
      <x v="600"/>
      <x v="6"/>
    </i>
    <i r="1">
      <x v="26"/>
      <x/>
      <x v="600"/>
      <x v="6"/>
    </i>
    <i>
      <x v="102"/>
      <x v="24"/>
      <x/>
      <x v="600"/>
      <x v="6"/>
    </i>
    <i r="1">
      <x v="25"/>
      <x/>
      <x v="600"/>
      <x v="6"/>
    </i>
    <i r="1">
      <x v="26"/>
      <x/>
      <x v="600"/>
      <x v="6"/>
    </i>
    <i>
      <x v="103"/>
      <x v="24"/>
      <x/>
      <x v="600"/>
      <x v="6"/>
    </i>
    <i r="3">
      <x v="601"/>
      <x v="6"/>
    </i>
    <i r="1">
      <x v="25"/>
      <x/>
      <x v="600"/>
      <x v="6"/>
    </i>
    <i r="3">
      <x v="601"/>
      <x v="6"/>
    </i>
    <i r="1">
      <x v="26"/>
      <x/>
      <x v="600"/>
      <x v="6"/>
    </i>
    <i r="3">
      <x v="601"/>
      <x v="6"/>
    </i>
  </rowItems>
  <colItems count="1">
    <i/>
  </colItems>
  <formats count="11">
    <format dxfId="31">
      <pivotArea dataOnly="0" labelOnly="1" outline="0" fieldPosition="0">
        <references count="1">
          <reference field="15" count="0"/>
        </references>
      </pivotArea>
    </format>
    <format dxfId="30">
      <pivotArea dataOnly="0" labelOnly="1" outline="0" fieldPosition="0">
        <references count="1">
          <reference field="17" count="0"/>
        </references>
      </pivotArea>
    </format>
    <format dxfId="29">
      <pivotArea field="18" type="button" dataOnly="0" labelOnly="1" outline="0" axis="axisRow" fieldPosition="0"/>
    </format>
    <format dxfId="28">
      <pivotArea field="15" type="button" dataOnly="0" labelOnly="1" outline="0" axis="axisRow" fieldPosition="3"/>
    </format>
    <format dxfId="27">
      <pivotArea field="17" type="button" dataOnly="0" labelOnly="1" outline="0" axis="axisRow" fieldPosition="4"/>
    </format>
    <format dxfId="26">
      <pivotArea field="18" type="button" dataOnly="0" labelOnly="1" outline="0" axis="axisRow" fieldPosition="0"/>
    </format>
    <format dxfId="25">
      <pivotArea field="15" type="button" dataOnly="0" labelOnly="1" outline="0" axis="axisRow" fieldPosition="3"/>
    </format>
    <format dxfId="24">
      <pivotArea field="17" type="button" dataOnly="0" labelOnly="1" outline="0" axis="axisRow" fieldPosition="4"/>
    </format>
    <format dxfId="23">
      <pivotArea dataOnly="0" labelOnly="1" outline="0" fieldPosition="0">
        <references count="1">
          <reference field="0" count="0"/>
        </references>
      </pivotArea>
    </format>
    <format dxfId="22">
      <pivotArea field="0" type="button" dataOnly="0" labelOnly="1" outline="0" axis="axisRow" fieldPosition="1"/>
    </format>
    <format dxfId="21">
      <pivotArea field="3" type="button" dataOnly="0" labelOnly="1" outline="0" axis="axisRow" fieldPosition="2"/>
    </format>
  </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11" xr16:uid="{00000000-0016-0000-0500-000000000000}" autoFormatId="16" applyNumberFormats="0" applyBorderFormats="0" applyFontFormats="0" applyPatternFormats="0" applyAlignmentFormats="0" applyWidthHeightFormats="0">
  <queryTableRefresh nextId="6">
    <queryTableFields count="5">
      <queryTableField id="1" name="1" tableColumnId="1"/>
      <queryTableField id="2" name="2" tableColumnId="2"/>
      <queryTableField id="3" name="3" tableColumnId="3"/>
      <queryTableField id="4" name="4" tableColumnId="4"/>
      <queryTableField id="5" name="5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adjustColumnWidth="0" connectionId="13" xr16:uid="{00000000-0016-0000-0800-000001000000}" autoFormatId="16" applyNumberFormats="0" applyBorderFormats="0" applyFontFormats="0" applyPatternFormats="0" applyAlignmentFormats="0" applyWidthHeightFormats="0">
  <queryTableRefresh nextId="7">
    <queryTableFields count="3">
      <queryTableField id="1" name="1" tableColumnId="1"/>
      <queryTableField id="2" name="2" tableColumnId="2"/>
      <queryTableField id="3" name="3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refreshOnLoad="1" connectionId="8" xr16:uid="{00000000-0016-0000-0B00-000002000000}" autoFormatId="16" applyNumberFormats="0" applyBorderFormats="0" applyFontFormats="0" applyPatternFormats="0" applyAlignmentFormats="0" applyWidthHeightFormats="0">
  <queryTableRefresh nextId="2">
    <queryTableFields count="1">
      <queryTableField id="1" name="Name" tableColumnId="1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Имя_файла" xr10:uid="{00000000-0013-0000-FFFF-FFFF01000000}" sourceName="Имя файла">
  <pivotTables>
    <pivotTable tabId="19" name="Сводная таблица1"/>
  </pivotTables>
  <data>
    <tabular pivotCacheId="1350758789" showMissing="0">
      <items count="27">
        <i x="0" s="1"/>
        <i x="1" s="1"/>
        <i x="2" s="1"/>
        <i x="3" s="1" nd="1"/>
        <i x="4" s="1" nd="1"/>
        <i x="24" s="1" nd="1"/>
        <i x="26" s="1" nd="1"/>
        <i x="23" s="1" nd="1"/>
        <i x="25" s="1" nd="1"/>
        <i x="5" s="1" nd="1"/>
        <i x="6" s="1" nd="1"/>
        <i x="7" s="1" nd="1"/>
        <i x="17" s="1" nd="1"/>
        <i x="18" s="1" nd="1"/>
        <i x="19" s="1" nd="1"/>
        <i x="20" s="1" nd="1"/>
        <i x="21" s="1" nd="1"/>
        <i x="22" s="1" nd="1"/>
        <i x="8" s="1" nd="1"/>
        <i x="9" s="1" nd="1"/>
        <i x="10" s="1" nd="1"/>
        <i x="11" s="1" nd="1"/>
        <i x="12" s="1" nd="1"/>
        <i x="13" s="1" nd="1"/>
        <i x="14" s="1" nd="1"/>
        <i x="15" s="1" nd="1"/>
        <i x="16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Имя файла" xr10:uid="{00000000-0014-0000-FFFF-FFFF01000000}" cache="Срез_Имя_файла" caption="Имя файла" rowHeight="241300"/>
</slicer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тРазделители" displayName="тРазделители" ref="G13:H23" totalsRowShown="0">
  <autoFilter ref="G13:H23" xr:uid="{00000000-0009-0000-0100-000001000000}"/>
  <tableColumns count="2">
    <tableColumn id="1" xr3:uid="{00000000-0010-0000-0000-000001000000}" name="Разделитель"/>
    <tableColumn id="2" xr3:uid="{00000000-0010-0000-0000-000002000000}" name="Комментарий"/>
  </tableColumns>
  <tableStyleInfo name="TableStyleLight18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1000000}" name="qРаздел3_Итог" displayName="qРаздел3_Итог" ref="A4:E19" tableType="queryTable" totalsRowShown="0" headerRowDxfId="34" headerRowBorderDxfId="33" tableBorderDxfId="32">
  <autoFilter ref="A4:E19" xr:uid="{00000000-0009-0000-0100-000006000000}"/>
  <tableColumns count="5">
    <tableColumn id="1" xr3:uid="{00000000-0010-0000-0100-000001000000}" uniqueName="1" name="1" queryTableFieldId="1" dataDxfId="18"/>
    <tableColumn id="2" xr3:uid="{00000000-0010-0000-0100-000002000000}" uniqueName="2" name="2" queryTableFieldId="2" dataDxfId="17"/>
    <tableColumn id="3" xr3:uid="{00000000-0010-0000-0100-000003000000}" uniqueName="3" name="3" queryTableFieldId="3" dataDxfId="16"/>
    <tableColumn id="4" xr3:uid="{00000000-0010-0000-0100-000004000000}" uniqueName="4" name="4" queryTableFieldId="4" dataDxfId="15"/>
    <tableColumn id="5" xr3:uid="{00000000-0010-0000-0100-000005000000}" uniqueName="5" name="5" queryTableFieldId="5" dataDxfId="14"/>
  </tableColumns>
  <tableStyleInfo name="TableStyleLight15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qРаздел6_Итог" displayName="qРаздел6_Итог" ref="A5:C17" tableType="queryTable" totalsRowShown="0" headerRowDxfId="20" headerRowBorderDxfId="19">
  <autoFilter ref="A5:C17" xr:uid="{00000000-0009-0000-0100-000002000000}"/>
  <tableColumns count="3">
    <tableColumn id="1" xr3:uid="{00000000-0010-0000-0200-000001000000}" uniqueName="1" name="1" queryTableFieldId="1" dataDxfId="13"/>
    <tableColumn id="2" xr3:uid="{00000000-0010-0000-0200-000002000000}" uniqueName="2" name="2" queryTableFieldId="2" dataDxfId="12"/>
    <tableColumn id="3" xr3:uid="{00000000-0010-0000-0200-000003000000}" uniqueName="3" name="3" queryTableFieldId="3" dataDxfId="11"/>
  </tableColumns>
  <tableStyleInfo name="TableStyleLight15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3000000}" name="tParam" displayName="tParam" ref="A3:B4" totalsRowShown="0">
  <autoFilter ref="A3:B4" xr:uid="{00000000-0009-0000-0100-000003000000}"/>
  <tableColumns count="2">
    <tableColumn id="1" xr3:uid="{00000000-0010-0000-0300-000001000000}" name="Param"/>
    <tableColumn id="2" xr3:uid="{00000000-0010-0000-0300-000002000000}" name="Value">
      <calculatedColumnFormula>LEFT(CELL("filename",A3),FIND("[",CELL("filename",A3))-1)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4000000}" name="qFileNames" displayName="qFileNames" ref="E3:E7" tableType="queryTable" totalsRowShown="0">
  <autoFilter ref="E3:E7" xr:uid="{00000000-0009-0000-0100-000004000000}"/>
  <tableColumns count="1">
    <tableColumn id="1" xr3:uid="{00000000-0010-0000-0400-000001000000}" uniqueName="1" name="Name" queryTableFieldId="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ВстроеннаяВременнаяШкала_Даты_работ" xr10:uid="{00000000-0013-0000-FFFF-FFFF02000000}" sourceName="Даты работ">
  <pivotTables>
    <pivotTable tabId="19" name="Сводная таблица1"/>
  </pivotTables>
  <state minimalRefreshVersion="6" lastRefreshVersion="6" pivotCacheId="1350758789" filterType="unknown">
    <bounds startDate="2023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Даты работ" xr10:uid="{00000000-0014-0000-FFFF-FFFF02000000}" cache="ВстроеннаяВременнаяШкала_Даты_работ" caption="Даты работ" level="2" selectionLevel="2" scrollPosition="2025-06-07T00:00:00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1.xml"/><Relationship Id="rId5" Type="http://schemas.microsoft.com/office/2011/relationships/timeline" Target="../timelines/timeline1.xml"/><Relationship Id="rId4" Type="http://schemas.microsoft.com/office/2007/relationships/slicer" Target="../slicers/slicer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4">
    <tabColor rgb="FF0066FF"/>
  </sheetPr>
  <dimension ref="B2:H23"/>
  <sheetViews>
    <sheetView showGridLines="0" tabSelected="1" zoomScale="115" zoomScaleNormal="115" workbookViewId="0">
      <pane ySplit="9" topLeftCell="A10" activePane="bottomLeft" state="frozen"/>
      <selection pane="bottomLeft" activeCell="B6" sqref="B6"/>
    </sheetView>
  </sheetViews>
  <sheetFormatPr defaultRowHeight="14.5" x14ac:dyDescent="0.35"/>
  <cols>
    <col min="2" max="2" width="39.26953125" customWidth="1"/>
    <col min="7" max="7" width="13.54296875" customWidth="1"/>
    <col min="8" max="8" width="18.7265625" customWidth="1"/>
  </cols>
  <sheetData>
    <row r="2" spans="2:8" ht="17.5" x14ac:dyDescent="0.45">
      <c r="B2" s="84" t="s">
        <v>173</v>
      </c>
    </row>
    <row r="3" spans="2:8" ht="32.5" x14ac:dyDescent="0.85">
      <c r="B3" s="82" t="s">
        <v>14</v>
      </c>
      <c r="D3" s="83" t="s">
        <v>180</v>
      </c>
    </row>
    <row r="5" spans="2:8" x14ac:dyDescent="0.35">
      <c r="B5" s="4" t="s">
        <v>174</v>
      </c>
    </row>
    <row r="6" spans="2:8" x14ac:dyDescent="0.35">
      <c r="B6" s="5" t="s">
        <v>16</v>
      </c>
    </row>
    <row r="8" spans="2:8" x14ac:dyDescent="0.35">
      <c r="B8" t="str">
        <f>IF(откуда_брать="все файлы","Данные будут собираться из всех файлов Автогенератора в папке:","Данные будут собираться из файла:")</f>
        <v>Данные будут собираться из всех файлов Автогенератора в папке:</v>
      </c>
    </row>
    <row r="9" spans="2:8" x14ac:dyDescent="0.35">
      <c r="B9" s="9" t="str" cm="1">
        <f t="array" aca="1" ref="B9" ca="1">tParam[Value]&amp;
IF(откуда_брать="все файлы","",откуда_брать)</f>
        <v>D:\SynologyDrive\Документы в облаке\Автогенератор\Репозиторий\25.12.16\</v>
      </c>
    </row>
    <row r="12" spans="2:8" x14ac:dyDescent="0.35">
      <c r="B12" s="4" t="s">
        <v>22</v>
      </c>
    </row>
    <row r="13" spans="2:8" x14ac:dyDescent="0.35">
      <c r="B13" t="s">
        <v>24</v>
      </c>
      <c r="E13" s="5" t="s">
        <v>23</v>
      </c>
      <c r="G13" t="s">
        <v>27</v>
      </c>
      <c r="H13" t="s">
        <v>28</v>
      </c>
    </row>
    <row r="14" spans="2:8" x14ac:dyDescent="0.35">
      <c r="B14" t="s">
        <v>167</v>
      </c>
      <c r="E14" s="13" t="s">
        <v>25</v>
      </c>
      <c r="G14" t="s">
        <v>46</v>
      </c>
      <c r="H14" t="s">
        <v>47</v>
      </c>
    </row>
    <row r="15" spans="2:8" x14ac:dyDescent="0.35">
      <c r="B15" t="s">
        <v>168</v>
      </c>
      <c r="E15" s="13" t="s">
        <v>35</v>
      </c>
      <c r="G15" t="s">
        <v>25</v>
      </c>
      <c r="H15" t="s">
        <v>29</v>
      </c>
    </row>
    <row r="16" spans="2:8" x14ac:dyDescent="0.35">
      <c r="G16" t="s">
        <v>43</v>
      </c>
      <c r="H16" t="s">
        <v>44</v>
      </c>
    </row>
    <row r="17" spans="2:8" x14ac:dyDescent="0.35">
      <c r="G17" t="s">
        <v>35</v>
      </c>
      <c r="H17" t="s">
        <v>31</v>
      </c>
    </row>
    <row r="18" spans="2:8" x14ac:dyDescent="0.35">
      <c r="B18" s="4" t="s">
        <v>45</v>
      </c>
      <c r="G18" t="s">
        <v>36</v>
      </c>
      <c r="H18" t="s">
        <v>32</v>
      </c>
    </row>
    <row r="19" spans="2:8" x14ac:dyDescent="0.35">
      <c r="B19" t="s">
        <v>169</v>
      </c>
      <c r="E19" s="13" t="s">
        <v>46</v>
      </c>
      <c r="G19" t="s">
        <v>34</v>
      </c>
      <c r="H19" t="s">
        <v>33</v>
      </c>
    </row>
    <row r="20" spans="2:8" x14ac:dyDescent="0.35">
      <c r="B20" t="s">
        <v>170</v>
      </c>
      <c r="E20" s="13" t="s">
        <v>25</v>
      </c>
      <c r="G20" s="14" t="s">
        <v>42</v>
      </c>
      <c r="H20" t="s">
        <v>37</v>
      </c>
    </row>
    <row r="21" spans="2:8" ht="29" x14ac:dyDescent="0.35">
      <c r="B21" s="15" t="s">
        <v>171</v>
      </c>
      <c r="C21" s="15"/>
      <c r="D21" s="15"/>
      <c r="E21" s="13" t="s">
        <v>26</v>
      </c>
      <c r="G21" t="s">
        <v>41</v>
      </c>
      <c r="H21" t="s">
        <v>38</v>
      </c>
    </row>
    <row r="22" spans="2:8" x14ac:dyDescent="0.35">
      <c r="B22" t="s">
        <v>172</v>
      </c>
      <c r="E22" s="13" t="s">
        <v>43</v>
      </c>
      <c r="G22" t="s">
        <v>40</v>
      </c>
      <c r="H22" t="s">
        <v>39</v>
      </c>
    </row>
    <row r="23" spans="2:8" ht="29" x14ac:dyDescent="0.35">
      <c r="G23" s="14" t="s">
        <v>26</v>
      </c>
      <c r="H23" t="s">
        <v>30</v>
      </c>
    </row>
  </sheetData>
  <dataValidations count="3">
    <dataValidation type="list" allowBlank="1" showInputMessage="1" showErrorMessage="1" errorTitle="Ошибка" error="Выберите значение из списка" sqref="B6" xr:uid="{00000000-0002-0000-0000-000000000000}">
      <formula1>INDIRECT("qFileNames[Name]")</formula1>
    </dataValidation>
    <dataValidation type="list" allowBlank="1" showInputMessage="1" showErrorMessage="1" sqref="E13" xr:uid="{00000000-0002-0000-0000-000001000000}">
      <formula1>"да,нет"</formula1>
    </dataValidation>
    <dataValidation type="list" allowBlank="1" showInputMessage="1" showErrorMessage="1" prompt="Выберите разделитель" sqref="E14:E15 E19:E22" xr:uid="{00000000-0002-0000-0000-000002000000}">
      <formula1>INDIRECT("тРазделители[Разделитель]")</formula1>
    </dataValidation>
  </dataValidations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5">
    <pageSetUpPr fitToPage="1"/>
  </sheetPr>
  <dimension ref="A1:L55"/>
  <sheetViews>
    <sheetView showGridLines="0" zoomScaleNormal="100" zoomScaleSheetLayoutView="120" workbookViewId="0">
      <selection activeCell="F20" sqref="F20"/>
    </sheetView>
  </sheetViews>
  <sheetFormatPr defaultRowHeight="12.5" x14ac:dyDescent="0.25"/>
  <cols>
    <col min="1" max="4" width="9.26953125" style="16" customWidth="1"/>
    <col min="5" max="5" width="6.7265625" style="16" customWidth="1"/>
    <col min="6" max="6" width="7.453125" style="16" customWidth="1"/>
    <col min="7" max="7" width="12" style="16" customWidth="1"/>
    <col min="8" max="8" width="9.26953125" style="16" customWidth="1"/>
    <col min="9" max="9" width="15.26953125" style="16" customWidth="1"/>
    <col min="10" max="256" width="8.7265625" style="16"/>
    <col min="257" max="260" width="9.26953125" style="16" customWidth="1"/>
    <col min="261" max="261" width="6.7265625" style="16" customWidth="1"/>
    <col min="262" max="262" width="7.453125" style="16" customWidth="1"/>
    <col min="263" max="263" width="12" style="16" customWidth="1"/>
    <col min="264" max="264" width="9.26953125" style="16" customWidth="1"/>
    <col min="265" max="265" width="15.26953125" style="16" customWidth="1"/>
    <col min="266" max="512" width="8.7265625" style="16"/>
    <col min="513" max="516" width="9.26953125" style="16" customWidth="1"/>
    <col min="517" max="517" width="6.7265625" style="16" customWidth="1"/>
    <col min="518" max="518" width="7.453125" style="16" customWidth="1"/>
    <col min="519" max="519" width="12" style="16" customWidth="1"/>
    <col min="520" max="520" width="9.26953125" style="16" customWidth="1"/>
    <col min="521" max="521" width="15.26953125" style="16" customWidth="1"/>
    <col min="522" max="768" width="8.7265625" style="16"/>
    <col min="769" max="772" width="9.26953125" style="16" customWidth="1"/>
    <col min="773" max="773" width="6.7265625" style="16" customWidth="1"/>
    <col min="774" max="774" width="7.453125" style="16" customWidth="1"/>
    <col min="775" max="775" width="12" style="16" customWidth="1"/>
    <col min="776" max="776" width="9.26953125" style="16" customWidth="1"/>
    <col min="777" max="777" width="15.26953125" style="16" customWidth="1"/>
    <col min="778" max="1024" width="8.7265625" style="16"/>
    <col min="1025" max="1028" width="9.26953125" style="16" customWidth="1"/>
    <col min="1029" max="1029" width="6.7265625" style="16" customWidth="1"/>
    <col min="1030" max="1030" width="7.453125" style="16" customWidth="1"/>
    <col min="1031" max="1031" width="12" style="16" customWidth="1"/>
    <col min="1032" max="1032" width="9.26953125" style="16" customWidth="1"/>
    <col min="1033" max="1033" width="15.26953125" style="16" customWidth="1"/>
    <col min="1034" max="1280" width="8.7265625" style="16"/>
    <col min="1281" max="1284" width="9.26953125" style="16" customWidth="1"/>
    <col min="1285" max="1285" width="6.7265625" style="16" customWidth="1"/>
    <col min="1286" max="1286" width="7.453125" style="16" customWidth="1"/>
    <col min="1287" max="1287" width="12" style="16" customWidth="1"/>
    <col min="1288" max="1288" width="9.26953125" style="16" customWidth="1"/>
    <col min="1289" max="1289" width="15.26953125" style="16" customWidth="1"/>
    <col min="1290" max="1536" width="8.7265625" style="16"/>
    <col min="1537" max="1540" width="9.26953125" style="16" customWidth="1"/>
    <col min="1541" max="1541" width="6.7265625" style="16" customWidth="1"/>
    <col min="1542" max="1542" width="7.453125" style="16" customWidth="1"/>
    <col min="1543" max="1543" width="12" style="16" customWidth="1"/>
    <col min="1544" max="1544" width="9.26953125" style="16" customWidth="1"/>
    <col min="1545" max="1545" width="15.26953125" style="16" customWidth="1"/>
    <col min="1546" max="1792" width="8.7265625" style="16"/>
    <col min="1793" max="1796" width="9.26953125" style="16" customWidth="1"/>
    <col min="1797" max="1797" width="6.7265625" style="16" customWidth="1"/>
    <col min="1798" max="1798" width="7.453125" style="16" customWidth="1"/>
    <col min="1799" max="1799" width="12" style="16" customWidth="1"/>
    <col min="1800" max="1800" width="9.26953125" style="16" customWidth="1"/>
    <col min="1801" max="1801" width="15.26953125" style="16" customWidth="1"/>
    <col min="1802" max="2048" width="8.7265625" style="16"/>
    <col min="2049" max="2052" width="9.26953125" style="16" customWidth="1"/>
    <col min="2053" max="2053" width="6.7265625" style="16" customWidth="1"/>
    <col min="2054" max="2054" width="7.453125" style="16" customWidth="1"/>
    <col min="2055" max="2055" width="12" style="16" customWidth="1"/>
    <col min="2056" max="2056" width="9.26953125" style="16" customWidth="1"/>
    <col min="2057" max="2057" width="15.26953125" style="16" customWidth="1"/>
    <col min="2058" max="2304" width="8.7265625" style="16"/>
    <col min="2305" max="2308" width="9.26953125" style="16" customWidth="1"/>
    <col min="2309" max="2309" width="6.7265625" style="16" customWidth="1"/>
    <col min="2310" max="2310" width="7.453125" style="16" customWidth="1"/>
    <col min="2311" max="2311" width="12" style="16" customWidth="1"/>
    <col min="2312" max="2312" width="9.26953125" style="16" customWidth="1"/>
    <col min="2313" max="2313" width="15.26953125" style="16" customWidth="1"/>
    <col min="2314" max="2560" width="8.7265625" style="16"/>
    <col min="2561" max="2564" width="9.26953125" style="16" customWidth="1"/>
    <col min="2565" max="2565" width="6.7265625" style="16" customWidth="1"/>
    <col min="2566" max="2566" width="7.453125" style="16" customWidth="1"/>
    <col min="2567" max="2567" width="12" style="16" customWidth="1"/>
    <col min="2568" max="2568" width="9.26953125" style="16" customWidth="1"/>
    <col min="2569" max="2569" width="15.26953125" style="16" customWidth="1"/>
    <col min="2570" max="2816" width="8.7265625" style="16"/>
    <col min="2817" max="2820" width="9.26953125" style="16" customWidth="1"/>
    <col min="2821" max="2821" width="6.7265625" style="16" customWidth="1"/>
    <col min="2822" max="2822" width="7.453125" style="16" customWidth="1"/>
    <col min="2823" max="2823" width="12" style="16" customWidth="1"/>
    <col min="2824" max="2824" width="9.26953125" style="16" customWidth="1"/>
    <col min="2825" max="2825" width="15.26953125" style="16" customWidth="1"/>
    <col min="2826" max="3072" width="8.7265625" style="16"/>
    <col min="3073" max="3076" width="9.26953125" style="16" customWidth="1"/>
    <col min="3077" max="3077" width="6.7265625" style="16" customWidth="1"/>
    <col min="3078" max="3078" width="7.453125" style="16" customWidth="1"/>
    <col min="3079" max="3079" width="12" style="16" customWidth="1"/>
    <col min="3080" max="3080" width="9.26953125" style="16" customWidth="1"/>
    <col min="3081" max="3081" width="15.26953125" style="16" customWidth="1"/>
    <col min="3082" max="3328" width="8.7265625" style="16"/>
    <col min="3329" max="3332" width="9.26953125" style="16" customWidth="1"/>
    <col min="3333" max="3333" width="6.7265625" style="16" customWidth="1"/>
    <col min="3334" max="3334" width="7.453125" style="16" customWidth="1"/>
    <col min="3335" max="3335" width="12" style="16" customWidth="1"/>
    <col min="3336" max="3336" width="9.26953125" style="16" customWidth="1"/>
    <col min="3337" max="3337" width="15.26953125" style="16" customWidth="1"/>
    <col min="3338" max="3584" width="8.7265625" style="16"/>
    <col min="3585" max="3588" width="9.26953125" style="16" customWidth="1"/>
    <col min="3589" max="3589" width="6.7265625" style="16" customWidth="1"/>
    <col min="3590" max="3590" width="7.453125" style="16" customWidth="1"/>
    <col min="3591" max="3591" width="12" style="16" customWidth="1"/>
    <col min="3592" max="3592" width="9.26953125" style="16" customWidth="1"/>
    <col min="3593" max="3593" width="15.26953125" style="16" customWidth="1"/>
    <col min="3594" max="3840" width="8.7265625" style="16"/>
    <col min="3841" max="3844" width="9.26953125" style="16" customWidth="1"/>
    <col min="3845" max="3845" width="6.7265625" style="16" customWidth="1"/>
    <col min="3846" max="3846" width="7.453125" style="16" customWidth="1"/>
    <col min="3847" max="3847" width="12" style="16" customWidth="1"/>
    <col min="3848" max="3848" width="9.26953125" style="16" customWidth="1"/>
    <col min="3849" max="3849" width="15.26953125" style="16" customWidth="1"/>
    <col min="3850" max="4096" width="8.7265625" style="16"/>
    <col min="4097" max="4100" width="9.26953125" style="16" customWidth="1"/>
    <col min="4101" max="4101" width="6.7265625" style="16" customWidth="1"/>
    <col min="4102" max="4102" width="7.453125" style="16" customWidth="1"/>
    <col min="4103" max="4103" width="12" style="16" customWidth="1"/>
    <col min="4104" max="4104" width="9.26953125" style="16" customWidth="1"/>
    <col min="4105" max="4105" width="15.26953125" style="16" customWidth="1"/>
    <col min="4106" max="4352" width="8.7265625" style="16"/>
    <col min="4353" max="4356" width="9.26953125" style="16" customWidth="1"/>
    <col min="4357" max="4357" width="6.7265625" style="16" customWidth="1"/>
    <col min="4358" max="4358" width="7.453125" style="16" customWidth="1"/>
    <col min="4359" max="4359" width="12" style="16" customWidth="1"/>
    <col min="4360" max="4360" width="9.26953125" style="16" customWidth="1"/>
    <col min="4361" max="4361" width="15.26953125" style="16" customWidth="1"/>
    <col min="4362" max="4608" width="8.7265625" style="16"/>
    <col min="4609" max="4612" width="9.26953125" style="16" customWidth="1"/>
    <col min="4613" max="4613" width="6.7265625" style="16" customWidth="1"/>
    <col min="4614" max="4614" width="7.453125" style="16" customWidth="1"/>
    <col min="4615" max="4615" width="12" style="16" customWidth="1"/>
    <col min="4616" max="4616" width="9.26953125" style="16" customWidth="1"/>
    <col min="4617" max="4617" width="15.26953125" style="16" customWidth="1"/>
    <col min="4618" max="4864" width="8.7265625" style="16"/>
    <col min="4865" max="4868" width="9.26953125" style="16" customWidth="1"/>
    <col min="4869" max="4869" width="6.7265625" style="16" customWidth="1"/>
    <col min="4870" max="4870" width="7.453125" style="16" customWidth="1"/>
    <col min="4871" max="4871" width="12" style="16" customWidth="1"/>
    <col min="4872" max="4872" width="9.26953125" style="16" customWidth="1"/>
    <col min="4873" max="4873" width="15.26953125" style="16" customWidth="1"/>
    <col min="4874" max="5120" width="8.7265625" style="16"/>
    <col min="5121" max="5124" width="9.26953125" style="16" customWidth="1"/>
    <col min="5125" max="5125" width="6.7265625" style="16" customWidth="1"/>
    <col min="5126" max="5126" width="7.453125" style="16" customWidth="1"/>
    <col min="5127" max="5127" width="12" style="16" customWidth="1"/>
    <col min="5128" max="5128" width="9.26953125" style="16" customWidth="1"/>
    <col min="5129" max="5129" width="15.26953125" style="16" customWidth="1"/>
    <col min="5130" max="5376" width="8.7265625" style="16"/>
    <col min="5377" max="5380" width="9.26953125" style="16" customWidth="1"/>
    <col min="5381" max="5381" width="6.7265625" style="16" customWidth="1"/>
    <col min="5382" max="5382" width="7.453125" style="16" customWidth="1"/>
    <col min="5383" max="5383" width="12" style="16" customWidth="1"/>
    <col min="5384" max="5384" width="9.26953125" style="16" customWidth="1"/>
    <col min="5385" max="5385" width="15.26953125" style="16" customWidth="1"/>
    <col min="5386" max="5632" width="8.7265625" style="16"/>
    <col min="5633" max="5636" width="9.26953125" style="16" customWidth="1"/>
    <col min="5637" max="5637" width="6.7265625" style="16" customWidth="1"/>
    <col min="5638" max="5638" width="7.453125" style="16" customWidth="1"/>
    <col min="5639" max="5639" width="12" style="16" customWidth="1"/>
    <col min="5640" max="5640" width="9.26953125" style="16" customWidth="1"/>
    <col min="5641" max="5641" width="15.26953125" style="16" customWidth="1"/>
    <col min="5642" max="5888" width="8.7265625" style="16"/>
    <col min="5889" max="5892" width="9.26953125" style="16" customWidth="1"/>
    <col min="5893" max="5893" width="6.7265625" style="16" customWidth="1"/>
    <col min="5894" max="5894" width="7.453125" style="16" customWidth="1"/>
    <col min="5895" max="5895" width="12" style="16" customWidth="1"/>
    <col min="5896" max="5896" width="9.26953125" style="16" customWidth="1"/>
    <col min="5897" max="5897" width="15.26953125" style="16" customWidth="1"/>
    <col min="5898" max="6144" width="8.7265625" style="16"/>
    <col min="6145" max="6148" width="9.26953125" style="16" customWidth="1"/>
    <col min="6149" max="6149" width="6.7265625" style="16" customWidth="1"/>
    <col min="6150" max="6150" width="7.453125" style="16" customWidth="1"/>
    <col min="6151" max="6151" width="12" style="16" customWidth="1"/>
    <col min="6152" max="6152" width="9.26953125" style="16" customWidth="1"/>
    <col min="6153" max="6153" width="15.26953125" style="16" customWidth="1"/>
    <col min="6154" max="6400" width="8.7265625" style="16"/>
    <col min="6401" max="6404" width="9.26953125" style="16" customWidth="1"/>
    <col min="6405" max="6405" width="6.7265625" style="16" customWidth="1"/>
    <col min="6406" max="6406" width="7.453125" style="16" customWidth="1"/>
    <col min="6407" max="6407" width="12" style="16" customWidth="1"/>
    <col min="6408" max="6408" width="9.26953125" style="16" customWidth="1"/>
    <col min="6409" max="6409" width="15.26953125" style="16" customWidth="1"/>
    <col min="6410" max="6656" width="8.7265625" style="16"/>
    <col min="6657" max="6660" width="9.26953125" style="16" customWidth="1"/>
    <col min="6661" max="6661" width="6.7265625" style="16" customWidth="1"/>
    <col min="6662" max="6662" width="7.453125" style="16" customWidth="1"/>
    <col min="6663" max="6663" width="12" style="16" customWidth="1"/>
    <col min="6664" max="6664" width="9.26953125" style="16" customWidth="1"/>
    <col min="6665" max="6665" width="15.26953125" style="16" customWidth="1"/>
    <col min="6666" max="6912" width="8.7265625" style="16"/>
    <col min="6913" max="6916" width="9.26953125" style="16" customWidth="1"/>
    <col min="6917" max="6917" width="6.7265625" style="16" customWidth="1"/>
    <col min="6918" max="6918" width="7.453125" style="16" customWidth="1"/>
    <col min="6919" max="6919" width="12" style="16" customWidth="1"/>
    <col min="6920" max="6920" width="9.26953125" style="16" customWidth="1"/>
    <col min="6921" max="6921" width="15.26953125" style="16" customWidth="1"/>
    <col min="6922" max="7168" width="8.7265625" style="16"/>
    <col min="7169" max="7172" width="9.26953125" style="16" customWidth="1"/>
    <col min="7173" max="7173" width="6.7265625" style="16" customWidth="1"/>
    <col min="7174" max="7174" width="7.453125" style="16" customWidth="1"/>
    <col min="7175" max="7175" width="12" style="16" customWidth="1"/>
    <col min="7176" max="7176" width="9.26953125" style="16" customWidth="1"/>
    <col min="7177" max="7177" width="15.26953125" style="16" customWidth="1"/>
    <col min="7178" max="7424" width="8.7265625" style="16"/>
    <col min="7425" max="7428" width="9.26953125" style="16" customWidth="1"/>
    <col min="7429" max="7429" width="6.7265625" style="16" customWidth="1"/>
    <col min="7430" max="7430" width="7.453125" style="16" customWidth="1"/>
    <col min="7431" max="7431" width="12" style="16" customWidth="1"/>
    <col min="7432" max="7432" width="9.26953125" style="16" customWidth="1"/>
    <col min="7433" max="7433" width="15.26953125" style="16" customWidth="1"/>
    <col min="7434" max="7680" width="8.7265625" style="16"/>
    <col min="7681" max="7684" width="9.26953125" style="16" customWidth="1"/>
    <col min="7685" max="7685" width="6.7265625" style="16" customWidth="1"/>
    <col min="7686" max="7686" width="7.453125" style="16" customWidth="1"/>
    <col min="7687" max="7687" width="12" style="16" customWidth="1"/>
    <col min="7688" max="7688" width="9.26953125" style="16" customWidth="1"/>
    <col min="7689" max="7689" width="15.26953125" style="16" customWidth="1"/>
    <col min="7690" max="7936" width="8.7265625" style="16"/>
    <col min="7937" max="7940" width="9.26953125" style="16" customWidth="1"/>
    <col min="7941" max="7941" width="6.7265625" style="16" customWidth="1"/>
    <col min="7942" max="7942" width="7.453125" style="16" customWidth="1"/>
    <col min="7943" max="7943" width="12" style="16" customWidth="1"/>
    <col min="7944" max="7944" width="9.26953125" style="16" customWidth="1"/>
    <col min="7945" max="7945" width="15.26953125" style="16" customWidth="1"/>
    <col min="7946" max="8192" width="8.7265625" style="16"/>
    <col min="8193" max="8196" width="9.26953125" style="16" customWidth="1"/>
    <col min="8197" max="8197" width="6.7265625" style="16" customWidth="1"/>
    <col min="8198" max="8198" width="7.453125" style="16" customWidth="1"/>
    <col min="8199" max="8199" width="12" style="16" customWidth="1"/>
    <col min="8200" max="8200" width="9.26953125" style="16" customWidth="1"/>
    <col min="8201" max="8201" width="15.26953125" style="16" customWidth="1"/>
    <col min="8202" max="8448" width="8.7265625" style="16"/>
    <col min="8449" max="8452" width="9.26953125" style="16" customWidth="1"/>
    <col min="8453" max="8453" width="6.7265625" style="16" customWidth="1"/>
    <col min="8454" max="8454" width="7.453125" style="16" customWidth="1"/>
    <col min="8455" max="8455" width="12" style="16" customWidth="1"/>
    <col min="8456" max="8456" width="9.26953125" style="16" customWidth="1"/>
    <col min="8457" max="8457" width="15.26953125" style="16" customWidth="1"/>
    <col min="8458" max="8704" width="8.7265625" style="16"/>
    <col min="8705" max="8708" width="9.26953125" style="16" customWidth="1"/>
    <col min="8709" max="8709" width="6.7265625" style="16" customWidth="1"/>
    <col min="8710" max="8710" width="7.453125" style="16" customWidth="1"/>
    <col min="8711" max="8711" width="12" style="16" customWidth="1"/>
    <col min="8712" max="8712" width="9.26953125" style="16" customWidth="1"/>
    <col min="8713" max="8713" width="15.26953125" style="16" customWidth="1"/>
    <col min="8714" max="8960" width="8.7265625" style="16"/>
    <col min="8961" max="8964" width="9.26953125" style="16" customWidth="1"/>
    <col min="8965" max="8965" width="6.7265625" style="16" customWidth="1"/>
    <col min="8966" max="8966" width="7.453125" style="16" customWidth="1"/>
    <col min="8967" max="8967" width="12" style="16" customWidth="1"/>
    <col min="8968" max="8968" width="9.26953125" style="16" customWidth="1"/>
    <col min="8969" max="8969" width="15.26953125" style="16" customWidth="1"/>
    <col min="8970" max="9216" width="8.7265625" style="16"/>
    <col min="9217" max="9220" width="9.26953125" style="16" customWidth="1"/>
    <col min="9221" max="9221" width="6.7265625" style="16" customWidth="1"/>
    <col min="9222" max="9222" width="7.453125" style="16" customWidth="1"/>
    <col min="9223" max="9223" width="12" style="16" customWidth="1"/>
    <col min="9224" max="9224" width="9.26953125" style="16" customWidth="1"/>
    <col min="9225" max="9225" width="15.26953125" style="16" customWidth="1"/>
    <col min="9226" max="9472" width="8.7265625" style="16"/>
    <col min="9473" max="9476" width="9.26953125" style="16" customWidth="1"/>
    <col min="9477" max="9477" width="6.7265625" style="16" customWidth="1"/>
    <col min="9478" max="9478" width="7.453125" style="16" customWidth="1"/>
    <col min="9479" max="9479" width="12" style="16" customWidth="1"/>
    <col min="9480" max="9480" width="9.26953125" style="16" customWidth="1"/>
    <col min="9481" max="9481" width="15.26953125" style="16" customWidth="1"/>
    <col min="9482" max="9728" width="8.7265625" style="16"/>
    <col min="9729" max="9732" width="9.26953125" style="16" customWidth="1"/>
    <col min="9733" max="9733" width="6.7265625" style="16" customWidth="1"/>
    <col min="9734" max="9734" width="7.453125" style="16" customWidth="1"/>
    <col min="9735" max="9735" width="12" style="16" customWidth="1"/>
    <col min="9736" max="9736" width="9.26953125" style="16" customWidth="1"/>
    <col min="9737" max="9737" width="15.26953125" style="16" customWidth="1"/>
    <col min="9738" max="9984" width="8.7265625" style="16"/>
    <col min="9985" max="9988" width="9.26953125" style="16" customWidth="1"/>
    <col min="9989" max="9989" width="6.7265625" style="16" customWidth="1"/>
    <col min="9990" max="9990" width="7.453125" style="16" customWidth="1"/>
    <col min="9991" max="9991" width="12" style="16" customWidth="1"/>
    <col min="9992" max="9992" width="9.26953125" style="16" customWidth="1"/>
    <col min="9993" max="9993" width="15.26953125" style="16" customWidth="1"/>
    <col min="9994" max="10240" width="8.7265625" style="16"/>
    <col min="10241" max="10244" width="9.26953125" style="16" customWidth="1"/>
    <col min="10245" max="10245" width="6.7265625" style="16" customWidth="1"/>
    <col min="10246" max="10246" width="7.453125" style="16" customWidth="1"/>
    <col min="10247" max="10247" width="12" style="16" customWidth="1"/>
    <col min="10248" max="10248" width="9.26953125" style="16" customWidth="1"/>
    <col min="10249" max="10249" width="15.26953125" style="16" customWidth="1"/>
    <col min="10250" max="10496" width="8.7265625" style="16"/>
    <col min="10497" max="10500" width="9.26953125" style="16" customWidth="1"/>
    <col min="10501" max="10501" width="6.7265625" style="16" customWidth="1"/>
    <col min="10502" max="10502" width="7.453125" style="16" customWidth="1"/>
    <col min="10503" max="10503" width="12" style="16" customWidth="1"/>
    <col min="10504" max="10504" width="9.26953125" style="16" customWidth="1"/>
    <col min="10505" max="10505" width="15.26953125" style="16" customWidth="1"/>
    <col min="10506" max="10752" width="8.7265625" style="16"/>
    <col min="10753" max="10756" width="9.26953125" style="16" customWidth="1"/>
    <col min="10757" max="10757" width="6.7265625" style="16" customWidth="1"/>
    <col min="10758" max="10758" width="7.453125" style="16" customWidth="1"/>
    <col min="10759" max="10759" width="12" style="16" customWidth="1"/>
    <col min="10760" max="10760" width="9.26953125" style="16" customWidth="1"/>
    <col min="10761" max="10761" width="15.26953125" style="16" customWidth="1"/>
    <col min="10762" max="11008" width="8.7265625" style="16"/>
    <col min="11009" max="11012" width="9.26953125" style="16" customWidth="1"/>
    <col min="11013" max="11013" width="6.7265625" style="16" customWidth="1"/>
    <col min="11014" max="11014" width="7.453125" style="16" customWidth="1"/>
    <col min="11015" max="11015" width="12" style="16" customWidth="1"/>
    <col min="11016" max="11016" width="9.26953125" style="16" customWidth="1"/>
    <col min="11017" max="11017" width="15.26953125" style="16" customWidth="1"/>
    <col min="11018" max="11264" width="8.7265625" style="16"/>
    <col min="11265" max="11268" width="9.26953125" style="16" customWidth="1"/>
    <col min="11269" max="11269" width="6.7265625" style="16" customWidth="1"/>
    <col min="11270" max="11270" width="7.453125" style="16" customWidth="1"/>
    <col min="11271" max="11271" width="12" style="16" customWidth="1"/>
    <col min="11272" max="11272" width="9.26953125" style="16" customWidth="1"/>
    <col min="11273" max="11273" width="15.26953125" style="16" customWidth="1"/>
    <col min="11274" max="11520" width="8.7265625" style="16"/>
    <col min="11521" max="11524" width="9.26953125" style="16" customWidth="1"/>
    <col min="11525" max="11525" width="6.7265625" style="16" customWidth="1"/>
    <col min="11526" max="11526" width="7.453125" style="16" customWidth="1"/>
    <col min="11527" max="11527" width="12" style="16" customWidth="1"/>
    <col min="11528" max="11528" width="9.26953125" style="16" customWidth="1"/>
    <col min="11529" max="11529" width="15.26953125" style="16" customWidth="1"/>
    <col min="11530" max="11776" width="8.7265625" style="16"/>
    <col min="11777" max="11780" width="9.26953125" style="16" customWidth="1"/>
    <col min="11781" max="11781" width="6.7265625" style="16" customWidth="1"/>
    <col min="11782" max="11782" width="7.453125" style="16" customWidth="1"/>
    <col min="11783" max="11783" width="12" style="16" customWidth="1"/>
    <col min="11784" max="11784" width="9.26953125" style="16" customWidth="1"/>
    <col min="11785" max="11785" width="15.26953125" style="16" customWidth="1"/>
    <col min="11786" max="12032" width="8.7265625" style="16"/>
    <col min="12033" max="12036" width="9.26953125" style="16" customWidth="1"/>
    <col min="12037" max="12037" width="6.7265625" style="16" customWidth="1"/>
    <col min="12038" max="12038" width="7.453125" style="16" customWidth="1"/>
    <col min="12039" max="12039" width="12" style="16" customWidth="1"/>
    <col min="12040" max="12040" width="9.26953125" style="16" customWidth="1"/>
    <col min="12041" max="12041" width="15.26953125" style="16" customWidth="1"/>
    <col min="12042" max="12288" width="8.7265625" style="16"/>
    <col min="12289" max="12292" width="9.26953125" style="16" customWidth="1"/>
    <col min="12293" max="12293" width="6.7265625" style="16" customWidth="1"/>
    <col min="12294" max="12294" width="7.453125" style="16" customWidth="1"/>
    <col min="12295" max="12295" width="12" style="16" customWidth="1"/>
    <col min="12296" max="12296" width="9.26953125" style="16" customWidth="1"/>
    <col min="12297" max="12297" width="15.26953125" style="16" customWidth="1"/>
    <col min="12298" max="12544" width="8.7265625" style="16"/>
    <col min="12545" max="12548" width="9.26953125" style="16" customWidth="1"/>
    <col min="12549" max="12549" width="6.7265625" style="16" customWidth="1"/>
    <col min="12550" max="12550" width="7.453125" style="16" customWidth="1"/>
    <col min="12551" max="12551" width="12" style="16" customWidth="1"/>
    <col min="12552" max="12552" width="9.26953125" style="16" customWidth="1"/>
    <col min="12553" max="12553" width="15.26953125" style="16" customWidth="1"/>
    <col min="12554" max="12800" width="8.7265625" style="16"/>
    <col min="12801" max="12804" width="9.26953125" style="16" customWidth="1"/>
    <col min="12805" max="12805" width="6.7265625" style="16" customWidth="1"/>
    <col min="12806" max="12806" width="7.453125" style="16" customWidth="1"/>
    <col min="12807" max="12807" width="12" style="16" customWidth="1"/>
    <col min="12808" max="12808" width="9.26953125" style="16" customWidth="1"/>
    <col min="12809" max="12809" width="15.26953125" style="16" customWidth="1"/>
    <col min="12810" max="13056" width="8.7265625" style="16"/>
    <col min="13057" max="13060" width="9.26953125" style="16" customWidth="1"/>
    <col min="13061" max="13061" width="6.7265625" style="16" customWidth="1"/>
    <col min="13062" max="13062" width="7.453125" style="16" customWidth="1"/>
    <col min="13063" max="13063" width="12" style="16" customWidth="1"/>
    <col min="13064" max="13064" width="9.26953125" style="16" customWidth="1"/>
    <col min="13065" max="13065" width="15.26953125" style="16" customWidth="1"/>
    <col min="13066" max="13312" width="8.7265625" style="16"/>
    <col min="13313" max="13316" width="9.26953125" style="16" customWidth="1"/>
    <col min="13317" max="13317" width="6.7265625" style="16" customWidth="1"/>
    <col min="13318" max="13318" width="7.453125" style="16" customWidth="1"/>
    <col min="13319" max="13319" width="12" style="16" customWidth="1"/>
    <col min="13320" max="13320" width="9.26953125" style="16" customWidth="1"/>
    <col min="13321" max="13321" width="15.26953125" style="16" customWidth="1"/>
    <col min="13322" max="13568" width="8.7265625" style="16"/>
    <col min="13569" max="13572" width="9.26953125" style="16" customWidth="1"/>
    <col min="13573" max="13573" width="6.7265625" style="16" customWidth="1"/>
    <col min="13574" max="13574" width="7.453125" style="16" customWidth="1"/>
    <col min="13575" max="13575" width="12" style="16" customWidth="1"/>
    <col min="13576" max="13576" width="9.26953125" style="16" customWidth="1"/>
    <col min="13577" max="13577" width="15.26953125" style="16" customWidth="1"/>
    <col min="13578" max="13824" width="8.7265625" style="16"/>
    <col min="13825" max="13828" width="9.26953125" style="16" customWidth="1"/>
    <col min="13829" max="13829" width="6.7265625" style="16" customWidth="1"/>
    <col min="13830" max="13830" width="7.453125" style="16" customWidth="1"/>
    <col min="13831" max="13831" width="12" style="16" customWidth="1"/>
    <col min="13832" max="13832" width="9.26953125" style="16" customWidth="1"/>
    <col min="13833" max="13833" width="15.26953125" style="16" customWidth="1"/>
    <col min="13834" max="14080" width="8.7265625" style="16"/>
    <col min="14081" max="14084" width="9.26953125" style="16" customWidth="1"/>
    <col min="14085" max="14085" width="6.7265625" style="16" customWidth="1"/>
    <col min="14086" max="14086" width="7.453125" style="16" customWidth="1"/>
    <col min="14087" max="14087" width="12" style="16" customWidth="1"/>
    <col min="14088" max="14088" width="9.26953125" style="16" customWidth="1"/>
    <col min="14089" max="14089" width="15.26953125" style="16" customWidth="1"/>
    <col min="14090" max="14336" width="8.7265625" style="16"/>
    <col min="14337" max="14340" width="9.26953125" style="16" customWidth="1"/>
    <col min="14341" max="14341" width="6.7265625" style="16" customWidth="1"/>
    <col min="14342" max="14342" width="7.453125" style="16" customWidth="1"/>
    <col min="14343" max="14343" width="12" style="16" customWidth="1"/>
    <col min="14344" max="14344" width="9.26953125" style="16" customWidth="1"/>
    <col min="14345" max="14345" width="15.26953125" style="16" customWidth="1"/>
    <col min="14346" max="14592" width="8.7265625" style="16"/>
    <col min="14593" max="14596" width="9.26953125" style="16" customWidth="1"/>
    <col min="14597" max="14597" width="6.7265625" style="16" customWidth="1"/>
    <col min="14598" max="14598" width="7.453125" style="16" customWidth="1"/>
    <col min="14599" max="14599" width="12" style="16" customWidth="1"/>
    <col min="14600" max="14600" width="9.26953125" style="16" customWidth="1"/>
    <col min="14601" max="14601" width="15.26953125" style="16" customWidth="1"/>
    <col min="14602" max="14848" width="8.7265625" style="16"/>
    <col min="14849" max="14852" width="9.26953125" style="16" customWidth="1"/>
    <col min="14853" max="14853" width="6.7265625" style="16" customWidth="1"/>
    <col min="14854" max="14854" width="7.453125" style="16" customWidth="1"/>
    <col min="14855" max="14855" width="12" style="16" customWidth="1"/>
    <col min="14856" max="14856" width="9.26953125" style="16" customWidth="1"/>
    <col min="14857" max="14857" width="15.26953125" style="16" customWidth="1"/>
    <col min="14858" max="15104" width="8.7265625" style="16"/>
    <col min="15105" max="15108" width="9.26953125" style="16" customWidth="1"/>
    <col min="15109" max="15109" width="6.7265625" style="16" customWidth="1"/>
    <col min="15110" max="15110" width="7.453125" style="16" customWidth="1"/>
    <col min="15111" max="15111" width="12" style="16" customWidth="1"/>
    <col min="15112" max="15112" width="9.26953125" style="16" customWidth="1"/>
    <col min="15113" max="15113" width="15.26953125" style="16" customWidth="1"/>
    <col min="15114" max="15360" width="8.7265625" style="16"/>
    <col min="15361" max="15364" width="9.26953125" style="16" customWidth="1"/>
    <col min="15365" max="15365" width="6.7265625" style="16" customWidth="1"/>
    <col min="15366" max="15366" width="7.453125" style="16" customWidth="1"/>
    <col min="15367" max="15367" width="12" style="16" customWidth="1"/>
    <col min="15368" max="15368" width="9.26953125" style="16" customWidth="1"/>
    <col min="15369" max="15369" width="15.26953125" style="16" customWidth="1"/>
    <col min="15370" max="15616" width="8.7265625" style="16"/>
    <col min="15617" max="15620" width="9.26953125" style="16" customWidth="1"/>
    <col min="15621" max="15621" width="6.7265625" style="16" customWidth="1"/>
    <col min="15622" max="15622" width="7.453125" style="16" customWidth="1"/>
    <col min="15623" max="15623" width="12" style="16" customWidth="1"/>
    <col min="15624" max="15624" width="9.26953125" style="16" customWidth="1"/>
    <col min="15625" max="15625" width="15.26953125" style="16" customWidth="1"/>
    <col min="15626" max="15872" width="8.7265625" style="16"/>
    <col min="15873" max="15876" width="9.26953125" style="16" customWidth="1"/>
    <col min="15877" max="15877" width="6.7265625" style="16" customWidth="1"/>
    <col min="15878" max="15878" width="7.453125" style="16" customWidth="1"/>
    <col min="15879" max="15879" width="12" style="16" customWidth="1"/>
    <col min="15880" max="15880" width="9.26953125" style="16" customWidth="1"/>
    <col min="15881" max="15881" width="15.26953125" style="16" customWidth="1"/>
    <col min="15882" max="16128" width="8.7265625" style="16"/>
    <col min="16129" max="16132" width="9.26953125" style="16" customWidth="1"/>
    <col min="16133" max="16133" width="6.7265625" style="16" customWidth="1"/>
    <col min="16134" max="16134" width="7.453125" style="16" customWidth="1"/>
    <col min="16135" max="16135" width="12" style="16" customWidth="1"/>
    <col min="16136" max="16136" width="9.26953125" style="16" customWidth="1"/>
    <col min="16137" max="16137" width="15.26953125" style="16" customWidth="1"/>
    <col min="16138" max="16384" width="8.7265625" style="16"/>
  </cols>
  <sheetData>
    <row r="1" spans="1:9" ht="13" x14ac:dyDescent="0.3">
      <c r="A1" s="53"/>
      <c r="B1" s="54"/>
      <c r="C1" s="54"/>
      <c r="D1" s="54"/>
      <c r="E1" s="54"/>
      <c r="F1" s="54"/>
      <c r="G1" s="54"/>
      <c r="H1" s="54"/>
      <c r="I1" s="74"/>
    </row>
    <row r="2" spans="1:9" x14ac:dyDescent="0.25">
      <c r="A2" s="55"/>
      <c r="I2" s="76" t="s">
        <v>160</v>
      </c>
    </row>
    <row r="3" spans="1:9" x14ac:dyDescent="0.25">
      <c r="A3" s="55"/>
      <c r="I3" s="56"/>
    </row>
    <row r="4" spans="1:9" x14ac:dyDescent="0.25">
      <c r="A4" s="55"/>
      <c r="I4" s="56"/>
    </row>
    <row r="5" spans="1:9" x14ac:dyDescent="0.25">
      <c r="A5" s="55"/>
      <c r="I5" s="56"/>
    </row>
    <row r="6" spans="1:9" x14ac:dyDescent="0.25">
      <c r="A6" s="55"/>
      <c r="I6" s="56"/>
    </row>
    <row r="7" spans="1:9" x14ac:dyDescent="0.25">
      <c r="A7" s="55"/>
      <c r="I7" s="56"/>
    </row>
    <row r="8" spans="1:9" x14ac:dyDescent="0.25">
      <c r="A8" s="55"/>
      <c r="I8" s="56"/>
    </row>
    <row r="9" spans="1:9" x14ac:dyDescent="0.25">
      <c r="A9" s="55"/>
      <c r="I9" s="56"/>
    </row>
    <row r="10" spans="1:9" x14ac:dyDescent="0.25">
      <c r="A10" s="55"/>
      <c r="I10" s="56"/>
    </row>
    <row r="11" spans="1:9" x14ac:dyDescent="0.25">
      <c r="A11" s="55"/>
      <c r="I11" s="56"/>
    </row>
    <row r="12" spans="1:9" x14ac:dyDescent="0.25">
      <c r="A12" s="55"/>
      <c r="I12" s="56"/>
    </row>
    <row r="13" spans="1:9" x14ac:dyDescent="0.25">
      <c r="A13" s="55"/>
      <c r="I13" s="56"/>
    </row>
    <row r="14" spans="1:9" x14ac:dyDescent="0.25">
      <c r="A14" s="55"/>
      <c r="I14" s="56"/>
    </row>
    <row r="15" spans="1:9" x14ac:dyDescent="0.25">
      <c r="A15" s="55"/>
      <c r="I15" s="56"/>
    </row>
    <row r="16" spans="1:9" x14ac:dyDescent="0.25">
      <c r="A16" s="55"/>
      <c r="I16" s="56"/>
    </row>
    <row r="17" spans="1:12" x14ac:dyDescent="0.25">
      <c r="A17" s="55"/>
      <c r="I17" s="56"/>
    </row>
    <row r="18" spans="1:12" x14ac:dyDescent="0.25">
      <c r="A18" s="55"/>
      <c r="I18" s="56"/>
    </row>
    <row r="19" spans="1:12" x14ac:dyDescent="0.25">
      <c r="A19" s="55"/>
      <c r="I19" s="56"/>
    </row>
    <row r="20" spans="1:12" x14ac:dyDescent="0.25">
      <c r="A20" s="55"/>
      <c r="I20" s="56"/>
    </row>
    <row r="21" spans="1:12" ht="25" x14ac:dyDescent="0.25">
      <c r="A21" s="100" t="s">
        <v>165</v>
      </c>
      <c r="B21" s="101"/>
      <c r="C21" s="101"/>
      <c r="D21" s="101"/>
      <c r="E21" s="101"/>
      <c r="F21" s="101"/>
      <c r="G21" s="101"/>
      <c r="H21" s="101"/>
      <c r="I21" s="102"/>
    </row>
    <row r="22" spans="1:12" ht="17.5" x14ac:dyDescent="0.25">
      <c r="A22" s="103"/>
      <c r="B22" s="104"/>
      <c r="C22" s="104"/>
      <c r="D22" s="104"/>
      <c r="E22" s="104"/>
      <c r="F22" s="104"/>
      <c r="G22" s="104"/>
      <c r="H22" s="104"/>
      <c r="I22" s="105"/>
    </row>
    <row r="23" spans="1:12" ht="17.5" x14ac:dyDescent="0.25">
      <c r="A23" s="55"/>
      <c r="D23" s="57" t="s">
        <v>51</v>
      </c>
      <c r="E23" s="75"/>
      <c r="F23" s="58"/>
      <c r="G23" s="59"/>
      <c r="H23" s="59"/>
      <c r="I23" s="56"/>
      <c r="K23" s="59"/>
      <c r="L23" s="59"/>
    </row>
    <row r="24" spans="1:12" x14ac:dyDescent="0.25">
      <c r="A24" s="55"/>
      <c r="I24" s="56"/>
    </row>
    <row r="25" spans="1:12" x14ac:dyDescent="0.25">
      <c r="A25" s="55"/>
      <c r="I25" s="56"/>
    </row>
    <row r="26" spans="1:12" x14ac:dyDescent="0.25">
      <c r="A26" s="55"/>
      <c r="I26" s="56"/>
    </row>
    <row r="27" spans="1:12" x14ac:dyDescent="0.25">
      <c r="A27" s="55"/>
      <c r="I27" s="56"/>
    </row>
    <row r="28" spans="1:12" x14ac:dyDescent="0.25">
      <c r="A28" s="55"/>
      <c r="I28" s="56"/>
    </row>
    <row r="29" spans="1:12" x14ac:dyDescent="0.25">
      <c r="A29" s="55"/>
      <c r="I29" s="56"/>
    </row>
    <row r="30" spans="1:12" x14ac:dyDescent="0.25">
      <c r="A30" s="55"/>
      <c r="I30" s="56"/>
    </row>
    <row r="31" spans="1:12" x14ac:dyDescent="0.25">
      <c r="A31" s="55"/>
      <c r="I31" s="56"/>
    </row>
    <row r="32" spans="1:12" x14ac:dyDescent="0.25">
      <c r="A32" s="55"/>
      <c r="I32" s="56"/>
    </row>
    <row r="33" spans="1:9" x14ac:dyDescent="0.25">
      <c r="A33" s="55"/>
      <c r="I33" s="56"/>
    </row>
    <row r="34" spans="1:9" x14ac:dyDescent="0.25">
      <c r="A34" s="55"/>
      <c r="I34" s="56"/>
    </row>
    <row r="35" spans="1:9" x14ac:dyDescent="0.25">
      <c r="A35" s="55"/>
      <c r="I35" s="56"/>
    </row>
    <row r="36" spans="1:9" x14ac:dyDescent="0.25">
      <c r="A36" s="55"/>
      <c r="I36" s="56"/>
    </row>
    <row r="37" spans="1:9" x14ac:dyDescent="0.25">
      <c r="A37" s="55"/>
      <c r="I37" s="56"/>
    </row>
    <row r="38" spans="1:9" x14ac:dyDescent="0.25">
      <c r="A38" s="55"/>
      <c r="I38" s="56"/>
    </row>
    <row r="39" spans="1:9" x14ac:dyDescent="0.25">
      <c r="A39" s="55"/>
      <c r="I39" s="56"/>
    </row>
    <row r="40" spans="1:9" x14ac:dyDescent="0.25">
      <c r="A40" s="55"/>
      <c r="I40" s="56"/>
    </row>
    <row r="41" spans="1:9" x14ac:dyDescent="0.25">
      <c r="A41" s="55"/>
      <c r="I41" s="56"/>
    </row>
    <row r="42" spans="1:9" x14ac:dyDescent="0.25">
      <c r="A42" s="55"/>
      <c r="I42" s="56"/>
    </row>
    <row r="43" spans="1:9" x14ac:dyDescent="0.25">
      <c r="A43" s="55"/>
      <c r="I43" s="56"/>
    </row>
    <row r="44" spans="1:9" x14ac:dyDescent="0.25">
      <c r="A44" s="55"/>
      <c r="I44" s="56"/>
    </row>
    <row r="45" spans="1:9" x14ac:dyDescent="0.25">
      <c r="A45" s="55"/>
      <c r="I45" s="56"/>
    </row>
    <row r="46" spans="1:9" x14ac:dyDescent="0.25">
      <c r="A46" s="55"/>
      <c r="I46" s="56"/>
    </row>
    <row r="47" spans="1:9" x14ac:dyDescent="0.25">
      <c r="A47" s="55"/>
      <c r="I47" s="56"/>
    </row>
    <row r="48" spans="1:9" x14ac:dyDescent="0.25">
      <c r="A48" s="55"/>
      <c r="I48" s="56"/>
    </row>
    <row r="49" spans="1:9" x14ac:dyDescent="0.25">
      <c r="A49" s="55"/>
      <c r="I49" s="56"/>
    </row>
    <row r="50" spans="1:9" x14ac:dyDescent="0.25">
      <c r="A50" s="55"/>
      <c r="I50" s="56"/>
    </row>
    <row r="51" spans="1:9" x14ac:dyDescent="0.25">
      <c r="A51" s="55"/>
      <c r="I51" s="56"/>
    </row>
    <row r="52" spans="1:9" x14ac:dyDescent="0.25">
      <c r="A52" s="55"/>
      <c r="I52" s="56"/>
    </row>
    <row r="53" spans="1:9" x14ac:dyDescent="0.25">
      <c r="A53" s="55"/>
      <c r="I53" s="56"/>
    </row>
    <row r="54" spans="1:9" x14ac:dyDescent="0.25">
      <c r="A54" s="55"/>
      <c r="I54" s="56"/>
    </row>
    <row r="55" spans="1:9" ht="37.5" customHeight="1" thickBot="1" x14ac:dyDescent="0.3">
      <c r="A55" s="60"/>
      <c r="B55" s="61"/>
      <c r="C55" s="61"/>
      <c r="D55" s="61"/>
      <c r="E55" s="61"/>
      <c r="F55" s="61"/>
      <c r="G55" s="61"/>
      <c r="H55" s="61"/>
      <c r="I55" s="62"/>
    </row>
  </sheetData>
  <mergeCells count="2">
    <mergeCell ref="A21:I21"/>
    <mergeCell ref="A22:I22"/>
  </mergeCells>
  <pageMargins left="0.9055118110236221" right="0.51181102362204722" top="0.55118110236220474" bottom="0.55118110236220474" header="0.31496062992125984" footer="0.31496062992125984"/>
  <pageSetup paperSize="9" orientation="portrait" horizont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6"/>
  <dimension ref="A1:AJ307"/>
  <sheetViews>
    <sheetView showGridLines="0" zoomScale="115" zoomScaleNormal="115" zoomScaleSheetLayoutView="140" workbookViewId="0">
      <selection activeCell="C6" sqref="C6:AJ6"/>
    </sheetView>
  </sheetViews>
  <sheetFormatPr defaultColWidth="9.26953125" defaultRowHeight="14" x14ac:dyDescent="0.3"/>
  <cols>
    <col min="1" max="36" width="2.54296875" style="25" customWidth="1"/>
    <col min="37" max="256" width="9.26953125" style="25"/>
    <col min="257" max="292" width="2.54296875" style="25" customWidth="1"/>
    <col min="293" max="512" width="9.26953125" style="25"/>
    <col min="513" max="548" width="2.54296875" style="25" customWidth="1"/>
    <col min="549" max="768" width="9.26953125" style="25"/>
    <col min="769" max="804" width="2.54296875" style="25" customWidth="1"/>
    <col min="805" max="1024" width="9.26953125" style="25"/>
    <col min="1025" max="1060" width="2.54296875" style="25" customWidth="1"/>
    <col min="1061" max="1280" width="9.26953125" style="25"/>
    <col min="1281" max="1316" width="2.54296875" style="25" customWidth="1"/>
    <col min="1317" max="1536" width="9.26953125" style="25"/>
    <col min="1537" max="1572" width="2.54296875" style="25" customWidth="1"/>
    <col min="1573" max="1792" width="9.26953125" style="25"/>
    <col min="1793" max="1828" width="2.54296875" style="25" customWidth="1"/>
    <col min="1829" max="2048" width="9.26953125" style="25"/>
    <col min="2049" max="2084" width="2.54296875" style="25" customWidth="1"/>
    <col min="2085" max="2304" width="9.26953125" style="25"/>
    <col min="2305" max="2340" width="2.54296875" style="25" customWidth="1"/>
    <col min="2341" max="2560" width="9.26953125" style="25"/>
    <col min="2561" max="2596" width="2.54296875" style="25" customWidth="1"/>
    <col min="2597" max="2816" width="9.26953125" style="25"/>
    <col min="2817" max="2852" width="2.54296875" style="25" customWidth="1"/>
    <col min="2853" max="3072" width="9.26953125" style="25"/>
    <col min="3073" max="3108" width="2.54296875" style="25" customWidth="1"/>
    <col min="3109" max="3328" width="9.26953125" style="25"/>
    <col min="3329" max="3364" width="2.54296875" style="25" customWidth="1"/>
    <col min="3365" max="3584" width="9.26953125" style="25"/>
    <col min="3585" max="3620" width="2.54296875" style="25" customWidth="1"/>
    <col min="3621" max="3840" width="9.26953125" style="25"/>
    <col min="3841" max="3876" width="2.54296875" style="25" customWidth="1"/>
    <col min="3877" max="4096" width="9.26953125" style="25"/>
    <col min="4097" max="4132" width="2.54296875" style="25" customWidth="1"/>
    <col min="4133" max="4352" width="9.26953125" style="25"/>
    <col min="4353" max="4388" width="2.54296875" style="25" customWidth="1"/>
    <col min="4389" max="4608" width="9.26953125" style="25"/>
    <col min="4609" max="4644" width="2.54296875" style="25" customWidth="1"/>
    <col min="4645" max="4864" width="9.26953125" style="25"/>
    <col min="4865" max="4900" width="2.54296875" style="25" customWidth="1"/>
    <col min="4901" max="5120" width="9.26953125" style="25"/>
    <col min="5121" max="5156" width="2.54296875" style="25" customWidth="1"/>
    <col min="5157" max="5376" width="9.26953125" style="25"/>
    <col min="5377" max="5412" width="2.54296875" style="25" customWidth="1"/>
    <col min="5413" max="5632" width="9.26953125" style="25"/>
    <col min="5633" max="5668" width="2.54296875" style="25" customWidth="1"/>
    <col min="5669" max="5888" width="9.26953125" style="25"/>
    <col min="5889" max="5924" width="2.54296875" style="25" customWidth="1"/>
    <col min="5925" max="6144" width="9.26953125" style="25"/>
    <col min="6145" max="6180" width="2.54296875" style="25" customWidth="1"/>
    <col min="6181" max="6400" width="9.26953125" style="25"/>
    <col min="6401" max="6436" width="2.54296875" style="25" customWidth="1"/>
    <col min="6437" max="6656" width="9.26953125" style="25"/>
    <col min="6657" max="6692" width="2.54296875" style="25" customWidth="1"/>
    <col min="6693" max="6912" width="9.26953125" style="25"/>
    <col min="6913" max="6948" width="2.54296875" style="25" customWidth="1"/>
    <col min="6949" max="7168" width="9.26953125" style="25"/>
    <col min="7169" max="7204" width="2.54296875" style="25" customWidth="1"/>
    <col min="7205" max="7424" width="9.26953125" style="25"/>
    <col min="7425" max="7460" width="2.54296875" style="25" customWidth="1"/>
    <col min="7461" max="7680" width="9.26953125" style="25"/>
    <col min="7681" max="7716" width="2.54296875" style="25" customWidth="1"/>
    <col min="7717" max="7936" width="9.26953125" style="25"/>
    <col min="7937" max="7972" width="2.54296875" style="25" customWidth="1"/>
    <col min="7973" max="8192" width="9.26953125" style="25"/>
    <col min="8193" max="8228" width="2.54296875" style="25" customWidth="1"/>
    <col min="8229" max="8448" width="9.26953125" style="25"/>
    <col min="8449" max="8484" width="2.54296875" style="25" customWidth="1"/>
    <col min="8485" max="8704" width="9.26953125" style="25"/>
    <col min="8705" max="8740" width="2.54296875" style="25" customWidth="1"/>
    <col min="8741" max="8960" width="9.26953125" style="25"/>
    <col min="8961" max="8996" width="2.54296875" style="25" customWidth="1"/>
    <col min="8997" max="9216" width="9.26953125" style="25"/>
    <col min="9217" max="9252" width="2.54296875" style="25" customWidth="1"/>
    <col min="9253" max="9472" width="9.26953125" style="25"/>
    <col min="9473" max="9508" width="2.54296875" style="25" customWidth="1"/>
    <col min="9509" max="9728" width="9.26953125" style="25"/>
    <col min="9729" max="9764" width="2.54296875" style="25" customWidth="1"/>
    <col min="9765" max="9984" width="9.26953125" style="25"/>
    <col min="9985" max="10020" width="2.54296875" style="25" customWidth="1"/>
    <col min="10021" max="10240" width="9.26953125" style="25"/>
    <col min="10241" max="10276" width="2.54296875" style="25" customWidth="1"/>
    <col min="10277" max="10496" width="9.26953125" style="25"/>
    <col min="10497" max="10532" width="2.54296875" style="25" customWidth="1"/>
    <col min="10533" max="10752" width="9.26953125" style="25"/>
    <col min="10753" max="10788" width="2.54296875" style="25" customWidth="1"/>
    <col min="10789" max="11008" width="9.26953125" style="25"/>
    <col min="11009" max="11044" width="2.54296875" style="25" customWidth="1"/>
    <col min="11045" max="11264" width="9.26953125" style="25"/>
    <col min="11265" max="11300" width="2.54296875" style="25" customWidth="1"/>
    <col min="11301" max="11520" width="9.26953125" style="25"/>
    <col min="11521" max="11556" width="2.54296875" style="25" customWidth="1"/>
    <col min="11557" max="11776" width="9.26953125" style="25"/>
    <col min="11777" max="11812" width="2.54296875" style="25" customWidth="1"/>
    <col min="11813" max="12032" width="9.26953125" style="25"/>
    <col min="12033" max="12068" width="2.54296875" style="25" customWidth="1"/>
    <col min="12069" max="12288" width="9.26953125" style="25"/>
    <col min="12289" max="12324" width="2.54296875" style="25" customWidth="1"/>
    <col min="12325" max="12544" width="9.26953125" style="25"/>
    <col min="12545" max="12580" width="2.54296875" style="25" customWidth="1"/>
    <col min="12581" max="12800" width="9.26953125" style="25"/>
    <col min="12801" max="12836" width="2.54296875" style="25" customWidth="1"/>
    <col min="12837" max="13056" width="9.26953125" style="25"/>
    <col min="13057" max="13092" width="2.54296875" style="25" customWidth="1"/>
    <col min="13093" max="13312" width="9.26953125" style="25"/>
    <col min="13313" max="13348" width="2.54296875" style="25" customWidth="1"/>
    <col min="13349" max="13568" width="9.26953125" style="25"/>
    <col min="13569" max="13604" width="2.54296875" style="25" customWidth="1"/>
    <col min="13605" max="13824" width="9.26953125" style="25"/>
    <col min="13825" max="13860" width="2.54296875" style="25" customWidth="1"/>
    <col min="13861" max="14080" width="9.26953125" style="25"/>
    <col min="14081" max="14116" width="2.54296875" style="25" customWidth="1"/>
    <col min="14117" max="14336" width="9.26953125" style="25"/>
    <col min="14337" max="14372" width="2.54296875" style="25" customWidth="1"/>
    <col min="14373" max="14592" width="9.26953125" style="25"/>
    <col min="14593" max="14628" width="2.54296875" style="25" customWidth="1"/>
    <col min="14629" max="14848" width="9.26953125" style="25"/>
    <col min="14849" max="14884" width="2.54296875" style="25" customWidth="1"/>
    <col min="14885" max="15104" width="9.26953125" style="25"/>
    <col min="15105" max="15140" width="2.54296875" style="25" customWidth="1"/>
    <col min="15141" max="15360" width="9.26953125" style="25"/>
    <col min="15361" max="15396" width="2.54296875" style="25" customWidth="1"/>
    <col min="15397" max="15616" width="9.26953125" style="25"/>
    <col min="15617" max="15652" width="2.54296875" style="25" customWidth="1"/>
    <col min="15653" max="15872" width="9.26953125" style="25"/>
    <col min="15873" max="15908" width="2.54296875" style="25" customWidth="1"/>
    <col min="15909" max="16128" width="9.26953125" style="25"/>
    <col min="16129" max="16164" width="2.54296875" style="25" customWidth="1"/>
    <col min="16165" max="16384" width="9.26953125" style="25"/>
  </cols>
  <sheetData>
    <row r="1" spans="1:36" s="16" customFormat="1" ht="38.75" customHeight="1" x14ac:dyDescent="0.35">
      <c r="A1" s="168" t="s">
        <v>48</v>
      </c>
      <c r="B1" s="168"/>
      <c r="C1" s="168"/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168"/>
      <c r="O1" s="168"/>
      <c r="P1" s="168"/>
      <c r="Q1" s="168"/>
      <c r="R1" s="168"/>
      <c r="S1" s="168"/>
      <c r="T1" s="168"/>
      <c r="U1" s="168"/>
      <c r="V1" s="168"/>
      <c r="W1" s="168"/>
      <c r="X1" s="168"/>
      <c r="Y1" s="168"/>
      <c r="Z1" s="168"/>
      <c r="AA1" s="168"/>
      <c r="AB1" s="168"/>
      <c r="AC1" s="168"/>
      <c r="AD1" s="168"/>
      <c r="AE1" s="168"/>
      <c r="AF1" s="168"/>
      <c r="AG1" s="168"/>
      <c r="AH1" s="168"/>
      <c r="AI1" s="168"/>
      <c r="AJ1" s="168"/>
    </row>
    <row r="2" spans="1:36" s="16" customFormat="1" ht="17.5" x14ac:dyDescent="0.35">
      <c r="A2" s="168" t="s">
        <v>49</v>
      </c>
      <c r="B2" s="168"/>
      <c r="C2" s="168"/>
      <c r="D2" s="168"/>
      <c r="E2" s="168"/>
      <c r="F2" s="168"/>
      <c r="G2" s="168"/>
      <c r="H2" s="168"/>
      <c r="I2" s="168"/>
      <c r="J2" s="168"/>
      <c r="K2" s="168"/>
      <c r="L2" s="168"/>
      <c r="M2" s="168"/>
      <c r="N2" s="168"/>
      <c r="O2" s="168"/>
      <c r="P2" s="168"/>
      <c r="Q2" s="168"/>
      <c r="R2" s="168"/>
      <c r="S2" s="168"/>
      <c r="T2" s="168"/>
      <c r="U2" s="168"/>
      <c r="V2" s="168"/>
      <c r="W2" s="168"/>
      <c r="X2" s="168"/>
      <c r="Y2" s="168"/>
      <c r="Z2" s="168"/>
      <c r="AA2" s="168"/>
      <c r="AB2" s="168"/>
      <c r="AC2" s="168"/>
      <c r="AD2" s="168"/>
      <c r="AE2" s="168"/>
      <c r="AF2" s="168"/>
      <c r="AG2" s="168"/>
      <c r="AH2" s="168"/>
      <c r="AI2" s="168"/>
      <c r="AJ2" s="168"/>
    </row>
    <row r="3" spans="1:36" s="16" customFormat="1" ht="20.25" customHeight="1" x14ac:dyDescent="0.35">
      <c r="A3" s="168" t="s">
        <v>50</v>
      </c>
      <c r="B3" s="168"/>
      <c r="C3" s="168"/>
      <c r="D3" s="168"/>
      <c r="E3" s="168"/>
      <c r="F3" s="168"/>
      <c r="G3" s="168"/>
      <c r="H3" s="168"/>
      <c r="I3" s="168"/>
      <c r="J3" s="168"/>
      <c r="K3" s="168"/>
      <c r="L3" s="168"/>
      <c r="M3" s="168"/>
      <c r="N3" s="168"/>
      <c r="O3" s="168"/>
      <c r="P3" s="168"/>
      <c r="Q3" s="168"/>
      <c r="R3" s="168"/>
      <c r="S3" s="168"/>
      <c r="T3" s="168"/>
      <c r="U3" s="168"/>
      <c r="V3" s="168"/>
      <c r="W3" s="168"/>
      <c r="X3" s="168"/>
      <c r="Y3" s="168"/>
      <c r="Z3" s="168"/>
      <c r="AA3" s="168"/>
      <c r="AB3" s="168"/>
      <c r="AC3" s="168"/>
      <c r="AD3" s="168"/>
      <c r="AE3" s="168"/>
      <c r="AF3" s="168"/>
      <c r="AG3" s="168"/>
      <c r="AH3" s="168"/>
      <c r="AI3" s="168"/>
      <c r="AJ3" s="168"/>
    </row>
    <row r="4" spans="1:36" s="16" customFormat="1" ht="17.25" customHeight="1" x14ac:dyDescent="0.35">
      <c r="A4" s="17"/>
      <c r="B4" s="17"/>
      <c r="C4" s="17"/>
      <c r="D4" s="17"/>
      <c r="E4" s="18"/>
      <c r="F4" s="17"/>
      <c r="G4" s="17"/>
      <c r="H4" s="17"/>
      <c r="I4" s="17"/>
      <c r="J4" s="17"/>
      <c r="K4" s="19"/>
      <c r="O4" s="18"/>
      <c r="P4" s="20" t="s">
        <v>51</v>
      </c>
      <c r="Q4" s="169"/>
      <c r="R4" s="169"/>
      <c r="S4" s="169"/>
      <c r="T4" s="169"/>
      <c r="U4" s="169"/>
    </row>
    <row r="5" spans="1:36" s="16" customFormat="1" ht="14.25" customHeight="1" x14ac:dyDescent="0.35">
      <c r="A5" s="17"/>
      <c r="B5" s="17"/>
      <c r="C5" s="17"/>
      <c r="D5" s="17"/>
      <c r="E5" s="17"/>
      <c r="F5" s="17"/>
      <c r="G5" s="17"/>
      <c r="H5" s="17"/>
      <c r="I5" s="17"/>
      <c r="J5" s="17"/>
      <c r="K5" s="19"/>
    </row>
    <row r="6" spans="1:36" s="16" customFormat="1" ht="15.75" customHeight="1" x14ac:dyDescent="0.35">
      <c r="A6" s="170" t="s">
        <v>52</v>
      </c>
      <c r="B6" s="170"/>
      <c r="C6" s="166"/>
      <c r="D6" s="166"/>
      <c r="E6" s="166"/>
      <c r="F6" s="166"/>
      <c r="G6" s="166"/>
      <c r="H6" s="166"/>
      <c r="I6" s="166"/>
      <c r="J6" s="166"/>
      <c r="K6" s="166"/>
      <c r="L6" s="166"/>
      <c r="M6" s="166"/>
      <c r="N6" s="166"/>
      <c r="O6" s="166"/>
      <c r="P6" s="166"/>
      <c r="Q6" s="166"/>
      <c r="R6" s="166"/>
      <c r="S6" s="166"/>
      <c r="T6" s="166"/>
      <c r="U6" s="166"/>
      <c r="V6" s="166"/>
      <c r="W6" s="166"/>
      <c r="X6" s="166"/>
      <c r="Y6" s="166"/>
      <c r="Z6" s="166"/>
      <c r="AA6" s="166"/>
      <c r="AB6" s="166"/>
      <c r="AC6" s="166"/>
      <c r="AD6" s="166"/>
      <c r="AE6" s="166"/>
      <c r="AF6" s="166"/>
      <c r="AG6" s="166"/>
      <c r="AH6" s="166"/>
      <c r="AI6" s="166"/>
      <c r="AJ6" s="166"/>
    </row>
    <row r="7" spans="1:36" s="16" customFormat="1" ht="10.5" customHeight="1" x14ac:dyDescent="0.25">
      <c r="A7" s="21"/>
      <c r="B7" s="21"/>
      <c r="C7" s="144" t="s">
        <v>53</v>
      </c>
      <c r="D7" s="144"/>
      <c r="E7" s="144"/>
      <c r="F7" s="144"/>
      <c r="G7" s="144"/>
      <c r="H7" s="144"/>
      <c r="I7" s="144"/>
      <c r="J7" s="144"/>
      <c r="K7" s="144"/>
      <c r="L7" s="144"/>
      <c r="M7" s="144"/>
      <c r="N7" s="144"/>
      <c r="O7" s="144"/>
      <c r="P7" s="144"/>
      <c r="Q7" s="144"/>
      <c r="R7" s="144"/>
      <c r="S7" s="144"/>
      <c r="T7" s="144"/>
      <c r="U7" s="144"/>
      <c r="V7" s="144"/>
      <c r="W7" s="144"/>
      <c r="X7" s="144"/>
      <c r="Y7" s="144"/>
      <c r="Z7" s="144"/>
      <c r="AA7" s="144"/>
      <c r="AB7" s="144"/>
      <c r="AC7" s="144"/>
      <c r="AD7" s="144"/>
      <c r="AE7" s="144"/>
      <c r="AF7" s="144"/>
      <c r="AG7" s="144"/>
      <c r="AH7" s="144"/>
      <c r="AI7" s="144"/>
      <c r="AJ7" s="144"/>
    </row>
    <row r="8" spans="1:36" s="16" customFormat="1" ht="15.75" customHeight="1" x14ac:dyDescent="0.35">
      <c r="A8" s="166"/>
      <c r="B8" s="166"/>
      <c r="C8" s="166"/>
      <c r="D8" s="166"/>
      <c r="E8" s="166"/>
      <c r="F8" s="166"/>
      <c r="G8" s="166"/>
      <c r="H8" s="166"/>
      <c r="I8" s="166"/>
      <c r="J8" s="166"/>
      <c r="K8" s="166"/>
      <c r="L8" s="166"/>
      <c r="M8" s="166"/>
      <c r="N8" s="166"/>
      <c r="O8" s="166"/>
      <c r="P8" s="166"/>
      <c r="Q8" s="166"/>
      <c r="R8" s="166"/>
      <c r="S8" s="166"/>
      <c r="T8" s="166"/>
      <c r="U8" s="166"/>
      <c r="V8" s="166"/>
      <c r="W8" s="166"/>
      <c r="X8" s="166"/>
      <c r="Y8" s="166"/>
      <c r="Z8" s="166"/>
      <c r="AA8" s="166"/>
      <c r="AB8" s="166"/>
      <c r="AC8" s="166"/>
      <c r="AD8" s="166"/>
      <c r="AE8" s="166"/>
      <c r="AF8" s="166"/>
      <c r="AG8" s="166"/>
      <c r="AH8" s="166"/>
      <c r="AI8" s="166"/>
      <c r="AJ8" s="166"/>
    </row>
    <row r="9" spans="1:36" s="16" customFormat="1" ht="23.75" customHeight="1" x14ac:dyDescent="0.35">
      <c r="A9" s="167"/>
      <c r="B9" s="167"/>
      <c r="C9" s="167"/>
      <c r="D9" s="167"/>
      <c r="E9" s="167"/>
      <c r="F9" s="167"/>
      <c r="G9" s="167"/>
      <c r="H9" s="167"/>
      <c r="I9" s="167"/>
      <c r="J9" s="167"/>
      <c r="K9" s="167"/>
      <c r="L9" s="167"/>
      <c r="M9" s="167"/>
      <c r="N9" s="167"/>
      <c r="O9" s="167"/>
      <c r="P9" s="167"/>
      <c r="Q9" s="167"/>
      <c r="R9" s="167"/>
      <c r="S9" s="167"/>
      <c r="T9" s="167"/>
      <c r="U9" s="167"/>
      <c r="V9" s="167"/>
      <c r="W9" s="167"/>
      <c r="X9" s="167"/>
      <c r="Y9" s="167"/>
      <c r="Z9" s="167"/>
      <c r="AA9" s="167"/>
      <c r="AB9" s="167"/>
      <c r="AC9" s="167"/>
      <c r="AD9" s="167"/>
      <c r="AE9" s="167"/>
      <c r="AF9" s="167"/>
      <c r="AG9" s="167"/>
      <c r="AH9" s="167"/>
      <c r="AI9" s="167"/>
      <c r="AJ9" s="167"/>
    </row>
    <row r="10" spans="1:36" s="16" customFormat="1" ht="10.5" customHeight="1" x14ac:dyDescent="0.25">
      <c r="A10" s="128" t="s">
        <v>54</v>
      </c>
      <c r="B10" s="128"/>
      <c r="C10" s="128"/>
      <c r="D10" s="128"/>
      <c r="E10" s="128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28"/>
      <c r="Q10" s="128"/>
      <c r="R10" s="128"/>
      <c r="S10" s="128"/>
      <c r="T10" s="128"/>
      <c r="U10" s="128"/>
      <c r="V10" s="128"/>
      <c r="W10" s="128"/>
      <c r="X10" s="128"/>
      <c r="Y10" s="128"/>
      <c r="Z10" s="128"/>
      <c r="AA10" s="128"/>
      <c r="AB10" s="128"/>
      <c r="AC10" s="128"/>
      <c r="AD10" s="128"/>
      <c r="AE10" s="128"/>
      <c r="AF10" s="128"/>
      <c r="AG10" s="128"/>
      <c r="AH10" s="128"/>
      <c r="AI10" s="128"/>
      <c r="AJ10" s="128"/>
    </row>
    <row r="11" spans="1:36" s="16" customFormat="1" ht="18" customHeight="1" x14ac:dyDescent="0.25">
      <c r="A11" s="22"/>
      <c r="B11" s="22"/>
      <c r="C11" s="22"/>
      <c r="D11" s="22"/>
      <c r="E11" s="22"/>
      <c r="F11" s="22"/>
      <c r="G11" s="22"/>
      <c r="H11" s="22"/>
      <c r="I11" s="22"/>
      <c r="J11" s="22"/>
      <c r="K11" s="19"/>
    </row>
    <row r="12" spans="1:36" ht="15.75" customHeight="1" x14ac:dyDescent="0.3">
      <c r="A12" s="23" t="s">
        <v>55</v>
      </c>
      <c r="B12" s="23"/>
      <c r="C12" s="24"/>
      <c r="D12" s="24"/>
      <c r="E12" s="24"/>
      <c r="F12" s="24"/>
      <c r="G12" s="24"/>
      <c r="H12" s="24"/>
      <c r="I12" s="24"/>
      <c r="J12" s="24"/>
    </row>
    <row r="13" spans="1:36" ht="15.75" customHeight="1" x14ac:dyDescent="0.3">
      <c r="A13" s="158"/>
      <c r="B13" s="158"/>
      <c r="C13" s="158"/>
      <c r="D13" s="158"/>
      <c r="E13" s="158"/>
      <c r="F13" s="158"/>
      <c r="G13" s="158"/>
      <c r="H13" s="158"/>
      <c r="I13" s="158"/>
      <c r="J13" s="158"/>
      <c r="K13" s="158"/>
      <c r="L13" s="158"/>
      <c r="M13" s="158"/>
      <c r="N13" s="158"/>
      <c r="O13" s="158"/>
      <c r="P13" s="158"/>
      <c r="Q13" s="158"/>
      <c r="R13" s="158"/>
      <c r="S13" s="158"/>
      <c r="T13" s="158"/>
      <c r="U13" s="158"/>
      <c r="V13" s="158"/>
      <c r="W13" s="158"/>
      <c r="X13" s="158"/>
      <c r="Y13" s="158"/>
      <c r="Z13" s="158"/>
      <c r="AA13" s="158"/>
      <c r="AB13" s="158"/>
      <c r="AC13" s="158"/>
      <c r="AD13" s="158"/>
      <c r="AE13" s="158"/>
      <c r="AF13" s="158"/>
      <c r="AG13" s="158"/>
      <c r="AH13" s="158"/>
      <c r="AI13" s="158"/>
      <c r="AJ13" s="158"/>
    </row>
    <row r="14" spans="1:36" ht="9.75" customHeight="1" x14ac:dyDescent="0.3">
      <c r="A14" s="154" t="s">
        <v>56</v>
      </c>
      <c r="B14" s="154"/>
      <c r="C14" s="154"/>
      <c r="D14" s="154"/>
      <c r="E14" s="154"/>
      <c r="F14" s="154"/>
      <c r="G14" s="154"/>
      <c r="H14" s="154"/>
      <c r="I14" s="154"/>
      <c r="J14" s="154"/>
      <c r="K14" s="154"/>
      <c r="L14" s="154"/>
      <c r="M14" s="154"/>
      <c r="N14" s="154"/>
      <c r="O14" s="154"/>
      <c r="P14" s="154"/>
      <c r="Q14" s="154"/>
      <c r="R14" s="154"/>
      <c r="S14" s="154"/>
      <c r="T14" s="154"/>
      <c r="U14" s="154"/>
      <c r="V14" s="154"/>
      <c r="W14" s="154"/>
      <c r="X14" s="154"/>
      <c r="Y14" s="154"/>
      <c r="Z14" s="154"/>
      <c r="AA14" s="154"/>
      <c r="AB14" s="154"/>
      <c r="AC14" s="154"/>
      <c r="AD14" s="154"/>
      <c r="AE14" s="154"/>
      <c r="AF14" s="154"/>
      <c r="AG14" s="154"/>
      <c r="AH14" s="154"/>
      <c r="AI14" s="154"/>
      <c r="AJ14" s="154"/>
    </row>
    <row r="15" spans="1:36" ht="14.25" customHeight="1" x14ac:dyDescent="0.3">
      <c r="A15" s="141"/>
      <c r="B15" s="141"/>
      <c r="C15" s="141"/>
      <c r="D15" s="141"/>
      <c r="E15" s="141"/>
      <c r="F15" s="141"/>
      <c r="G15" s="141"/>
      <c r="H15" s="141"/>
      <c r="I15" s="141"/>
      <c r="J15" s="141"/>
      <c r="K15" s="141"/>
      <c r="L15" s="141"/>
      <c r="M15" s="141"/>
      <c r="N15" s="141"/>
      <c r="O15" s="141"/>
      <c r="P15" s="141"/>
      <c r="Q15" s="141"/>
      <c r="R15" s="141"/>
      <c r="S15" s="141"/>
      <c r="T15" s="141"/>
      <c r="U15" s="141"/>
      <c r="V15" s="141"/>
      <c r="W15" s="141"/>
      <c r="X15" s="141"/>
      <c r="Y15" s="141"/>
      <c r="Z15" s="141"/>
      <c r="AA15" s="141"/>
      <c r="AB15" s="141"/>
      <c r="AC15" s="141"/>
      <c r="AD15" s="141"/>
      <c r="AE15" s="141"/>
      <c r="AF15" s="141"/>
      <c r="AG15" s="141"/>
      <c r="AH15" s="141"/>
      <c r="AI15" s="141"/>
      <c r="AJ15" s="141"/>
    </row>
    <row r="16" spans="1:36" ht="24.75" customHeight="1" x14ac:dyDescent="0.3">
      <c r="A16" s="154" t="s">
        <v>57</v>
      </c>
      <c r="B16" s="154"/>
      <c r="C16" s="154"/>
      <c r="D16" s="154"/>
      <c r="E16" s="154"/>
      <c r="F16" s="154"/>
      <c r="G16" s="154"/>
      <c r="H16" s="154"/>
      <c r="I16" s="154"/>
      <c r="J16" s="154"/>
      <c r="K16" s="154"/>
      <c r="L16" s="154"/>
      <c r="M16" s="154"/>
      <c r="N16" s="154"/>
      <c r="O16" s="154"/>
      <c r="P16" s="154"/>
      <c r="Q16" s="154"/>
      <c r="R16" s="154"/>
      <c r="S16" s="154"/>
      <c r="T16" s="154"/>
      <c r="U16" s="154"/>
      <c r="V16" s="154"/>
      <c r="W16" s="154"/>
      <c r="X16" s="154"/>
      <c r="Y16" s="154"/>
      <c r="Z16" s="154"/>
      <c r="AA16" s="154"/>
      <c r="AB16" s="154"/>
      <c r="AC16" s="154"/>
      <c r="AD16" s="154"/>
      <c r="AE16" s="154"/>
      <c r="AF16" s="154"/>
      <c r="AG16" s="154"/>
      <c r="AH16" s="154"/>
      <c r="AI16" s="154"/>
      <c r="AJ16" s="154"/>
    </row>
    <row r="17" spans="1:36" x14ac:dyDescent="0.3">
      <c r="A17" s="141"/>
      <c r="B17" s="141"/>
      <c r="C17" s="141"/>
      <c r="D17" s="141"/>
      <c r="E17" s="141"/>
      <c r="F17" s="141"/>
      <c r="G17" s="141"/>
      <c r="H17" s="141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41"/>
      <c r="W17" s="141"/>
      <c r="X17" s="141"/>
      <c r="Y17" s="141"/>
      <c r="Z17" s="141"/>
      <c r="AA17" s="141"/>
      <c r="AB17" s="141"/>
      <c r="AC17" s="141"/>
      <c r="AD17" s="141"/>
      <c r="AE17" s="141"/>
      <c r="AF17" s="141"/>
      <c r="AG17" s="141"/>
      <c r="AH17" s="141"/>
      <c r="AI17" s="141"/>
      <c r="AJ17" s="141"/>
    </row>
    <row r="18" spans="1:36" ht="50.25" customHeight="1" x14ac:dyDescent="0.3">
      <c r="A18" s="155" t="s">
        <v>58</v>
      </c>
      <c r="B18" s="155"/>
      <c r="C18" s="155"/>
      <c r="D18" s="155"/>
      <c r="E18" s="155"/>
      <c r="F18" s="155"/>
      <c r="G18" s="155"/>
      <c r="H18" s="155"/>
      <c r="I18" s="155"/>
      <c r="J18" s="155"/>
      <c r="K18" s="155"/>
      <c r="L18" s="155"/>
      <c r="M18" s="155"/>
      <c r="N18" s="155"/>
      <c r="O18" s="155"/>
      <c r="P18" s="155"/>
      <c r="Q18" s="155"/>
      <c r="R18" s="155"/>
      <c r="S18" s="155"/>
      <c r="T18" s="155"/>
      <c r="U18" s="155"/>
      <c r="V18" s="155"/>
      <c r="W18" s="155"/>
      <c r="X18" s="155"/>
      <c r="Y18" s="155"/>
      <c r="Z18" s="155"/>
      <c r="AA18" s="155"/>
      <c r="AB18" s="155"/>
      <c r="AC18" s="155"/>
      <c r="AD18" s="155"/>
      <c r="AE18" s="155"/>
      <c r="AF18" s="155"/>
      <c r="AG18" s="155"/>
      <c r="AH18" s="155"/>
      <c r="AI18" s="155"/>
      <c r="AJ18" s="155"/>
    </row>
    <row r="19" spans="1:36" ht="16.5" customHeight="1" x14ac:dyDescent="0.3">
      <c r="A19" s="165"/>
      <c r="B19" s="165"/>
      <c r="C19" s="165"/>
      <c r="D19" s="165"/>
      <c r="E19" s="165"/>
      <c r="F19" s="165"/>
      <c r="G19" s="165"/>
      <c r="H19" s="165"/>
      <c r="I19" s="165"/>
      <c r="J19" s="165"/>
      <c r="K19" s="165"/>
      <c r="L19" s="165"/>
      <c r="M19" s="165"/>
      <c r="N19" s="165"/>
      <c r="O19" s="165"/>
      <c r="P19" s="165"/>
      <c r="Q19" s="165"/>
      <c r="R19" s="165"/>
      <c r="S19" s="165"/>
      <c r="T19" s="165"/>
      <c r="U19" s="165"/>
      <c r="V19" s="165"/>
      <c r="W19" s="165"/>
      <c r="X19" s="165"/>
      <c r="Y19" s="165"/>
      <c r="Z19" s="165"/>
      <c r="AA19" s="165"/>
      <c r="AB19" s="165"/>
      <c r="AC19" s="165"/>
      <c r="AD19" s="165"/>
      <c r="AE19" s="165"/>
      <c r="AF19" s="165"/>
      <c r="AG19" s="165"/>
      <c r="AH19" s="165"/>
      <c r="AI19" s="165"/>
      <c r="AJ19" s="165"/>
    </row>
    <row r="20" spans="1:36" ht="23.25" customHeight="1" x14ac:dyDescent="0.3">
      <c r="A20" s="154" t="s">
        <v>59</v>
      </c>
      <c r="B20" s="154"/>
      <c r="C20" s="154"/>
      <c r="D20" s="154"/>
      <c r="E20" s="154"/>
      <c r="F20" s="154"/>
      <c r="G20" s="154"/>
      <c r="H20" s="154"/>
      <c r="I20" s="154"/>
      <c r="J20" s="154"/>
      <c r="K20" s="154"/>
      <c r="L20" s="154"/>
      <c r="M20" s="154"/>
      <c r="N20" s="154"/>
      <c r="O20" s="154"/>
      <c r="P20" s="154"/>
      <c r="Q20" s="154"/>
      <c r="R20" s="154"/>
      <c r="S20" s="154"/>
      <c r="T20" s="154"/>
      <c r="U20" s="154"/>
      <c r="V20" s="154"/>
      <c r="W20" s="154"/>
      <c r="X20" s="154"/>
      <c r="Y20" s="154"/>
      <c r="Z20" s="154"/>
      <c r="AA20" s="154"/>
      <c r="AB20" s="154"/>
      <c r="AC20" s="154"/>
      <c r="AD20" s="154"/>
      <c r="AE20" s="154"/>
      <c r="AF20" s="154"/>
      <c r="AG20" s="154"/>
      <c r="AH20" s="154"/>
      <c r="AI20" s="154"/>
      <c r="AJ20" s="154"/>
    </row>
    <row r="21" spans="1:36" ht="13.5" customHeight="1" x14ac:dyDescent="0.3">
      <c r="A21" s="26"/>
      <c r="B21" s="26"/>
      <c r="C21" s="26"/>
      <c r="D21" s="26"/>
      <c r="E21" s="26"/>
      <c r="F21" s="26"/>
      <c r="G21" s="26"/>
      <c r="H21" s="26"/>
      <c r="I21" s="26"/>
      <c r="J21" s="26"/>
    </row>
    <row r="22" spans="1:36" s="16" customFormat="1" ht="46.25" customHeight="1" x14ac:dyDescent="0.3">
      <c r="A22" s="129" t="s">
        <v>60</v>
      </c>
      <c r="B22" s="129"/>
      <c r="C22" s="129"/>
      <c r="D22" s="129"/>
      <c r="E22" s="129"/>
      <c r="F22" s="129"/>
      <c r="G22" s="129"/>
      <c r="H22" s="129"/>
      <c r="I22" s="129"/>
      <c r="J22" s="129"/>
      <c r="K22" s="129"/>
      <c r="L22" s="129"/>
      <c r="M22" s="129"/>
      <c r="N22" s="129"/>
      <c r="O22" s="129"/>
      <c r="P22" s="129"/>
      <c r="Q22" s="129"/>
      <c r="R22" s="129"/>
      <c r="S22" s="129"/>
      <c r="T22" s="129"/>
      <c r="U22" s="129"/>
      <c r="V22" s="129"/>
      <c r="W22" s="129"/>
      <c r="X22" s="129"/>
      <c r="Y22" s="129"/>
      <c r="Z22" s="129"/>
      <c r="AA22" s="129"/>
      <c r="AB22" s="129"/>
      <c r="AC22" s="129"/>
      <c r="AD22" s="129"/>
      <c r="AE22" s="129"/>
      <c r="AF22" s="129"/>
      <c r="AG22" s="129"/>
      <c r="AH22" s="129"/>
      <c r="AI22" s="129"/>
      <c r="AJ22" s="129"/>
    </row>
    <row r="23" spans="1:36" s="16" customFormat="1" ht="132.75" customHeight="1" x14ac:dyDescent="0.25">
      <c r="A23" s="110" t="s">
        <v>61</v>
      </c>
      <c r="B23" s="110"/>
      <c r="C23" s="110" t="s">
        <v>62</v>
      </c>
      <c r="D23" s="110"/>
      <c r="E23" s="110"/>
      <c r="F23" s="110"/>
      <c r="G23" s="110"/>
      <c r="H23" s="110"/>
      <c r="I23" s="110"/>
      <c r="J23" s="110" t="s">
        <v>63</v>
      </c>
      <c r="K23" s="110"/>
      <c r="L23" s="110"/>
      <c r="M23" s="110"/>
      <c r="N23" s="110"/>
      <c r="O23" s="110" t="s">
        <v>64</v>
      </c>
      <c r="P23" s="110"/>
      <c r="Q23" s="110"/>
      <c r="R23" s="110"/>
      <c r="S23" s="110"/>
      <c r="T23" s="110" t="s">
        <v>65</v>
      </c>
      <c r="U23" s="110"/>
      <c r="V23" s="110"/>
      <c r="W23" s="110"/>
      <c r="X23" s="110"/>
      <c r="Y23" s="110"/>
      <c r="Z23" s="110"/>
      <c r="AA23" s="110"/>
      <c r="AB23" s="110"/>
      <c r="AC23" s="110"/>
      <c r="AD23" s="110"/>
      <c r="AE23" s="110"/>
      <c r="AF23" s="110"/>
      <c r="AG23" s="110" t="s">
        <v>66</v>
      </c>
      <c r="AH23" s="110"/>
      <c r="AI23" s="110"/>
      <c r="AJ23" s="110"/>
    </row>
    <row r="24" spans="1:36" s="16" customFormat="1" ht="14.25" customHeight="1" x14ac:dyDescent="0.25">
      <c r="A24" s="110" t="s">
        <v>3</v>
      </c>
      <c r="B24" s="110"/>
      <c r="C24" s="110" t="s">
        <v>4</v>
      </c>
      <c r="D24" s="110"/>
      <c r="E24" s="110"/>
      <c r="F24" s="110"/>
      <c r="G24" s="110"/>
      <c r="H24" s="110"/>
      <c r="I24" s="110"/>
      <c r="J24" s="110" t="s">
        <v>5</v>
      </c>
      <c r="K24" s="110"/>
      <c r="L24" s="110"/>
      <c r="M24" s="110"/>
      <c r="N24" s="110"/>
      <c r="O24" s="110" t="s">
        <v>6</v>
      </c>
      <c r="P24" s="110"/>
      <c r="Q24" s="110"/>
      <c r="R24" s="110"/>
      <c r="S24" s="110"/>
      <c r="T24" s="110" t="s">
        <v>21</v>
      </c>
      <c r="U24" s="110"/>
      <c r="V24" s="110"/>
      <c r="W24" s="110"/>
      <c r="X24" s="110"/>
      <c r="Y24" s="110"/>
      <c r="Z24" s="110"/>
      <c r="AA24" s="110"/>
      <c r="AB24" s="110"/>
      <c r="AC24" s="110"/>
      <c r="AD24" s="110"/>
      <c r="AE24" s="110"/>
      <c r="AF24" s="110"/>
      <c r="AG24" s="110" t="s">
        <v>67</v>
      </c>
      <c r="AH24" s="110"/>
      <c r="AI24" s="110"/>
      <c r="AJ24" s="110"/>
    </row>
    <row r="25" spans="1:36" s="16" customFormat="1" ht="26.25" customHeight="1" x14ac:dyDescent="0.25">
      <c r="A25" s="110"/>
      <c r="B25" s="110"/>
      <c r="C25" s="110"/>
      <c r="D25" s="110"/>
      <c r="E25" s="110"/>
      <c r="F25" s="110"/>
      <c r="G25" s="110"/>
      <c r="H25" s="110"/>
      <c r="I25" s="110"/>
      <c r="J25" s="110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  <c r="X25" s="110"/>
      <c r="Y25" s="110"/>
      <c r="Z25" s="110"/>
      <c r="AA25" s="110"/>
      <c r="AB25" s="110"/>
      <c r="AC25" s="110"/>
      <c r="AD25" s="110"/>
      <c r="AE25" s="110"/>
      <c r="AF25" s="110"/>
      <c r="AG25" s="110"/>
      <c r="AH25" s="110"/>
      <c r="AI25" s="110"/>
      <c r="AJ25" s="110"/>
    </row>
    <row r="26" spans="1:36" s="16" customFormat="1" ht="26.25" customHeight="1" x14ac:dyDescent="0.25">
      <c r="A26" s="110"/>
      <c r="B26" s="110"/>
      <c r="C26" s="110"/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</row>
    <row r="27" spans="1:36" s="16" customFormat="1" ht="26.25" customHeight="1" x14ac:dyDescent="0.25">
      <c r="A27" s="110"/>
      <c r="B27" s="110"/>
      <c r="C27" s="110"/>
      <c r="D27" s="110"/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10"/>
      <c r="AJ27" s="110"/>
    </row>
    <row r="28" spans="1:36" s="16" customFormat="1" ht="26.25" customHeight="1" x14ac:dyDescent="0.25">
      <c r="A28" s="110"/>
      <c r="B28" s="110"/>
      <c r="C28" s="110"/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0"/>
      <c r="V28" s="110"/>
      <c r="W28" s="110"/>
      <c r="X28" s="110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10"/>
      <c r="AJ28" s="110"/>
    </row>
    <row r="29" spans="1:36" ht="32.25" customHeight="1" x14ac:dyDescent="0.3">
      <c r="A29" s="26"/>
      <c r="B29" s="26"/>
      <c r="C29" s="26"/>
      <c r="D29" s="26"/>
      <c r="E29" s="26"/>
      <c r="F29" s="26"/>
      <c r="G29" s="26"/>
      <c r="H29" s="26"/>
      <c r="I29" s="26"/>
      <c r="J29" s="26"/>
    </row>
    <row r="30" spans="1:36" s="29" customFormat="1" ht="17.25" customHeight="1" x14ac:dyDescent="0.3">
      <c r="A30" s="27" t="s">
        <v>68</v>
      </c>
      <c r="B30" s="28"/>
      <c r="C30" s="28"/>
      <c r="D30" s="28"/>
      <c r="E30" s="28"/>
      <c r="F30" s="28"/>
      <c r="G30" s="28"/>
      <c r="H30" s="28"/>
      <c r="I30" s="28"/>
      <c r="J30" s="28"/>
    </row>
    <row r="31" spans="1:36" ht="12.65" customHeight="1" x14ac:dyDescent="0.3">
      <c r="A31" s="141"/>
      <c r="B31" s="141"/>
      <c r="C31" s="141"/>
      <c r="D31" s="141"/>
      <c r="E31" s="141"/>
      <c r="F31" s="141"/>
      <c r="G31" s="141"/>
      <c r="H31" s="141"/>
      <c r="I31" s="141"/>
      <c r="J31" s="141"/>
      <c r="K31" s="141"/>
      <c r="L31" s="141"/>
      <c r="M31" s="141"/>
      <c r="N31" s="141"/>
      <c r="O31" s="141"/>
      <c r="P31" s="141"/>
      <c r="Q31" s="141"/>
      <c r="R31" s="141"/>
      <c r="S31" s="141"/>
      <c r="T31" s="141"/>
      <c r="U31" s="141"/>
      <c r="V31" s="141"/>
      <c r="W31" s="141"/>
      <c r="X31" s="141"/>
      <c r="Y31" s="141"/>
      <c r="Z31" s="141"/>
      <c r="AA31" s="141"/>
      <c r="AB31" s="141"/>
      <c r="AC31" s="141"/>
      <c r="AD31" s="141"/>
      <c r="AE31" s="141"/>
      <c r="AF31" s="141"/>
      <c r="AG31" s="141"/>
      <c r="AH31" s="141"/>
      <c r="AI31" s="141"/>
      <c r="AJ31" s="141"/>
    </row>
    <row r="32" spans="1:36" ht="26.25" customHeight="1" x14ac:dyDescent="0.3">
      <c r="A32" s="154" t="s">
        <v>69</v>
      </c>
      <c r="B32" s="154"/>
      <c r="C32" s="154"/>
      <c r="D32" s="154"/>
      <c r="E32" s="154"/>
      <c r="F32" s="154"/>
      <c r="G32" s="154"/>
      <c r="H32" s="154"/>
      <c r="I32" s="154"/>
      <c r="J32" s="154"/>
      <c r="K32" s="154"/>
      <c r="L32" s="154"/>
      <c r="M32" s="154"/>
      <c r="N32" s="154"/>
      <c r="O32" s="154"/>
      <c r="P32" s="154"/>
      <c r="Q32" s="154"/>
      <c r="R32" s="154"/>
      <c r="S32" s="154"/>
      <c r="T32" s="154"/>
      <c r="U32" s="154"/>
      <c r="V32" s="154"/>
      <c r="W32" s="154"/>
      <c r="X32" s="154"/>
      <c r="Y32" s="154"/>
      <c r="Z32" s="154"/>
      <c r="AA32" s="154"/>
      <c r="AB32" s="154"/>
      <c r="AC32" s="154"/>
      <c r="AD32" s="154"/>
      <c r="AE32" s="154"/>
      <c r="AF32" s="154"/>
      <c r="AG32" s="154"/>
      <c r="AH32" s="154"/>
      <c r="AI32" s="154"/>
      <c r="AJ32" s="154"/>
    </row>
    <row r="33" spans="1:36" ht="15.75" customHeight="1" x14ac:dyDescent="0.3">
      <c r="A33" s="141"/>
      <c r="B33" s="141"/>
      <c r="C33" s="141"/>
      <c r="D33" s="141"/>
      <c r="E33" s="141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41"/>
      <c r="Q33" s="141"/>
      <c r="R33" s="141"/>
      <c r="S33" s="141"/>
      <c r="T33" s="141"/>
      <c r="U33" s="141"/>
      <c r="V33" s="141"/>
      <c r="W33" s="141"/>
      <c r="X33" s="141"/>
      <c r="Y33" s="141"/>
      <c r="Z33" s="141"/>
      <c r="AA33" s="141"/>
      <c r="AB33" s="141"/>
      <c r="AC33" s="141"/>
      <c r="AD33" s="141"/>
      <c r="AE33" s="141"/>
      <c r="AF33" s="141"/>
      <c r="AG33" s="141"/>
      <c r="AH33" s="141"/>
      <c r="AI33" s="141"/>
      <c r="AJ33" s="141"/>
    </row>
    <row r="34" spans="1:36" ht="50.25" customHeight="1" x14ac:dyDescent="0.3">
      <c r="A34" s="155" t="s">
        <v>70</v>
      </c>
      <c r="B34" s="155"/>
      <c r="C34" s="155"/>
      <c r="D34" s="155"/>
      <c r="E34" s="155"/>
      <c r="F34" s="155"/>
      <c r="G34" s="155"/>
      <c r="H34" s="155"/>
      <c r="I34" s="155"/>
      <c r="J34" s="155"/>
      <c r="K34" s="155"/>
      <c r="L34" s="155"/>
      <c r="M34" s="155"/>
      <c r="N34" s="155"/>
      <c r="O34" s="155"/>
      <c r="P34" s="155"/>
      <c r="Q34" s="155"/>
      <c r="R34" s="155"/>
      <c r="S34" s="155"/>
      <c r="T34" s="155"/>
      <c r="U34" s="155"/>
      <c r="V34" s="155"/>
      <c r="W34" s="155"/>
      <c r="X34" s="155"/>
      <c r="Y34" s="155"/>
      <c r="Z34" s="155"/>
      <c r="AA34" s="155"/>
      <c r="AB34" s="155"/>
      <c r="AC34" s="155"/>
      <c r="AD34" s="155"/>
      <c r="AE34" s="155"/>
      <c r="AF34" s="155"/>
      <c r="AG34" s="155"/>
      <c r="AH34" s="155"/>
      <c r="AI34" s="155"/>
      <c r="AJ34" s="155"/>
    </row>
    <row r="35" spans="1:36" s="29" customFormat="1" ht="28.5" customHeight="1" x14ac:dyDescent="0.3">
      <c r="A35" s="27"/>
      <c r="B35" s="28"/>
      <c r="C35" s="28"/>
      <c r="D35" s="28"/>
      <c r="E35" s="28"/>
      <c r="F35" s="28"/>
      <c r="G35" s="28"/>
      <c r="H35" s="28"/>
      <c r="I35" s="28"/>
      <c r="J35" s="28"/>
    </row>
    <row r="36" spans="1:36" s="29" customFormat="1" ht="19.5" customHeight="1" x14ac:dyDescent="0.3">
      <c r="A36" s="164" t="s">
        <v>71</v>
      </c>
      <c r="B36" s="164"/>
      <c r="C36" s="164"/>
      <c r="D36" s="164"/>
      <c r="E36" s="164"/>
      <c r="F36" s="164"/>
      <c r="G36" s="164"/>
      <c r="H36" s="164"/>
      <c r="I36" s="164"/>
      <c r="J36" s="164"/>
      <c r="K36" s="164"/>
      <c r="L36" s="164"/>
      <c r="M36" s="164"/>
      <c r="N36" s="164"/>
      <c r="O36" s="164"/>
      <c r="P36" s="164"/>
      <c r="Q36" s="164"/>
      <c r="R36" s="164"/>
      <c r="S36" s="164"/>
      <c r="T36" s="164"/>
      <c r="U36" s="164"/>
      <c r="V36" s="164"/>
      <c r="W36" s="164"/>
      <c r="X36" s="164"/>
      <c r="Y36" s="164"/>
      <c r="Z36" s="164"/>
      <c r="AA36" s="164"/>
      <c r="AB36" s="164"/>
      <c r="AC36" s="164"/>
      <c r="AD36" s="164"/>
      <c r="AE36" s="164"/>
      <c r="AF36" s="164"/>
      <c r="AG36" s="164"/>
      <c r="AH36" s="164"/>
      <c r="AI36" s="164"/>
      <c r="AJ36" s="164"/>
    </row>
    <row r="37" spans="1:36" s="16" customFormat="1" ht="132.75" customHeight="1" x14ac:dyDescent="0.25">
      <c r="A37" s="110" t="s">
        <v>61</v>
      </c>
      <c r="B37" s="110"/>
      <c r="C37" s="110" t="s">
        <v>62</v>
      </c>
      <c r="D37" s="110"/>
      <c r="E37" s="110"/>
      <c r="F37" s="110"/>
      <c r="G37" s="110"/>
      <c r="H37" s="110"/>
      <c r="I37" s="110"/>
      <c r="J37" s="110" t="s">
        <v>63</v>
      </c>
      <c r="K37" s="110"/>
      <c r="L37" s="110"/>
      <c r="M37" s="110"/>
      <c r="N37" s="110"/>
      <c r="O37" s="110" t="s">
        <v>72</v>
      </c>
      <c r="P37" s="110"/>
      <c r="Q37" s="110"/>
      <c r="R37" s="110"/>
      <c r="S37" s="110"/>
      <c r="T37" s="110" t="s">
        <v>65</v>
      </c>
      <c r="U37" s="110"/>
      <c r="V37" s="110"/>
      <c r="W37" s="110"/>
      <c r="X37" s="110"/>
      <c r="Y37" s="110"/>
      <c r="Z37" s="110"/>
      <c r="AA37" s="110"/>
      <c r="AB37" s="110"/>
      <c r="AC37" s="110"/>
      <c r="AD37" s="110"/>
      <c r="AE37" s="110"/>
      <c r="AF37" s="110"/>
      <c r="AG37" s="110" t="s">
        <v>66</v>
      </c>
      <c r="AH37" s="110"/>
      <c r="AI37" s="110"/>
      <c r="AJ37" s="110"/>
    </row>
    <row r="38" spans="1:36" s="16" customFormat="1" ht="14.25" customHeight="1" x14ac:dyDescent="0.25">
      <c r="A38" s="110" t="s">
        <v>3</v>
      </c>
      <c r="B38" s="110"/>
      <c r="C38" s="110" t="s">
        <v>4</v>
      </c>
      <c r="D38" s="110"/>
      <c r="E38" s="110"/>
      <c r="F38" s="110"/>
      <c r="G38" s="110"/>
      <c r="H38" s="110"/>
      <c r="I38" s="110"/>
      <c r="J38" s="110" t="s">
        <v>5</v>
      </c>
      <c r="K38" s="110"/>
      <c r="L38" s="110"/>
      <c r="M38" s="110"/>
      <c r="N38" s="110"/>
      <c r="O38" s="110" t="s">
        <v>6</v>
      </c>
      <c r="P38" s="110"/>
      <c r="Q38" s="110"/>
      <c r="R38" s="110"/>
      <c r="S38" s="110"/>
      <c r="T38" s="110" t="s">
        <v>21</v>
      </c>
      <c r="U38" s="110"/>
      <c r="V38" s="110"/>
      <c r="W38" s="110"/>
      <c r="X38" s="110"/>
      <c r="Y38" s="110"/>
      <c r="Z38" s="110"/>
      <c r="AA38" s="110"/>
      <c r="AB38" s="110"/>
      <c r="AC38" s="110"/>
      <c r="AD38" s="110"/>
      <c r="AE38" s="110"/>
      <c r="AF38" s="110"/>
      <c r="AG38" s="110" t="s">
        <v>67</v>
      </c>
      <c r="AH38" s="110"/>
      <c r="AI38" s="110"/>
      <c r="AJ38" s="110"/>
    </row>
    <row r="39" spans="1:36" s="16" customFormat="1" ht="28.5" customHeight="1" x14ac:dyDescent="0.25">
      <c r="A39" s="110"/>
      <c r="B39" s="110"/>
      <c r="C39" s="110"/>
      <c r="D39" s="110"/>
      <c r="E39" s="110"/>
      <c r="F39" s="110"/>
      <c r="G39" s="110"/>
      <c r="H39" s="110"/>
      <c r="I39" s="110"/>
      <c r="J39" s="110"/>
      <c r="K39" s="110"/>
      <c r="L39" s="110"/>
      <c r="M39" s="110"/>
      <c r="N39" s="110"/>
      <c r="O39" s="110"/>
      <c r="P39" s="110"/>
      <c r="Q39" s="110"/>
      <c r="R39" s="110"/>
      <c r="S39" s="110"/>
      <c r="T39" s="110"/>
      <c r="U39" s="110"/>
      <c r="V39" s="110"/>
      <c r="W39" s="110"/>
      <c r="X39" s="110"/>
      <c r="Y39" s="110"/>
      <c r="Z39" s="110"/>
      <c r="AA39" s="110"/>
      <c r="AB39" s="110"/>
      <c r="AC39" s="110"/>
      <c r="AD39" s="110"/>
      <c r="AE39" s="110"/>
      <c r="AF39" s="110"/>
      <c r="AG39" s="110"/>
      <c r="AH39" s="110"/>
      <c r="AI39" s="110"/>
      <c r="AJ39" s="110"/>
    </row>
    <row r="40" spans="1:36" s="16" customFormat="1" ht="28.5" customHeight="1" x14ac:dyDescent="0.25">
      <c r="A40" s="110"/>
      <c r="B40" s="110"/>
      <c r="C40" s="110"/>
      <c r="D40" s="110"/>
      <c r="E40" s="110"/>
      <c r="F40" s="110"/>
      <c r="G40" s="110"/>
      <c r="H40" s="110"/>
      <c r="I40" s="110"/>
      <c r="J40" s="110"/>
      <c r="K40" s="110"/>
      <c r="L40" s="110"/>
      <c r="M40" s="110"/>
      <c r="N40" s="110"/>
      <c r="O40" s="110"/>
      <c r="P40" s="110"/>
      <c r="Q40" s="110"/>
      <c r="R40" s="110"/>
      <c r="S40" s="110"/>
      <c r="T40" s="110"/>
      <c r="U40" s="110"/>
      <c r="V40" s="110"/>
      <c r="W40" s="110"/>
      <c r="X40" s="110"/>
      <c r="Y40" s="110"/>
      <c r="Z40" s="110"/>
      <c r="AA40" s="110"/>
      <c r="AB40" s="110"/>
      <c r="AC40" s="110"/>
      <c r="AD40" s="110"/>
      <c r="AE40" s="110"/>
      <c r="AF40" s="110"/>
      <c r="AG40" s="110"/>
      <c r="AH40" s="110"/>
      <c r="AI40" s="110"/>
      <c r="AJ40" s="110"/>
    </row>
    <row r="41" spans="1:36" s="16" customFormat="1" ht="28.5" customHeight="1" x14ac:dyDescent="0.25">
      <c r="A41" s="110"/>
      <c r="B41" s="110"/>
      <c r="C41" s="110"/>
      <c r="D41" s="110"/>
      <c r="E41" s="110"/>
      <c r="F41" s="110"/>
      <c r="G41" s="110"/>
      <c r="H41" s="110"/>
      <c r="I41" s="110"/>
      <c r="J41" s="110"/>
      <c r="K41" s="110"/>
      <c r="L41" s="110"/>
      <c r="M41" s="110"/>
      <c r="N41" s="110"/>
      <c r="O41" s="110"/>
      <c r="P41" s="110"/>
      <c r="Q41" s="110"/>
      <c r="R41" s="110"/>
      <c r="S41" s="110"/>
      <c r="T41" s="110"/>
      <c r="U41" s="110"/>
      <c r="V41" s="110"/>
      <c r="W41" s="110"/>
      <c r="X41" s="110"/>
      <c r="Y41" s="110"/>
      <c r="Z41" s="110"/>
      <c r="AA41" s="110"/>
      <c r="AB41" s="110"/>
      <c r="AC41" s="110"/>
      <c r="AD41" s="110"/>
      <c r="AE41" s="110"/>
      <c r="AF41" s="110"/>
      <c r="AG41" s="110"/>
      <c r="AH41" s="110"/>
      <c r="AI41" s="110"/>
      <c r="AJ41" s="110"/>
    </row>
    <row r="42" spans="1:36" ht="16.5" customHeight="1" x14ac:dyDescent="0.3">
      <c r="A42" s="26"/>
      <c r="B42" s="26"/>
      <c r="C42" s="26"/>
      <c r="D42" s="26"/>
      <c r="E42" s="26"/>
      <c r="F42" s="26"/>
      <c r="G42" s="26"/>
      <c r="H42" s="26"/>
      <c r="I42" s="26"/>
      <c r="J42" s="26"/>
    </row>
    <row r="43" spans="1:36" s="16" customFormat="1" ht="47.25" customHeight="1" x14ac:dyDescent="0.25">
      <c r="A43" s="163" t="s">
        <v>73</v>
      </c>
      <c r="B43" s="163"/>
      <c r="C43" s="163"/>
      <c r="D43" s="163"/>
      <c r="E43" s="163"/>
      <c r="F43" s="163"/>
      <c r="G43" s="163"/>
      <c r="H43" s="163"/>
      <c r="I43" s="163"/>
      <c r="J43" s="163"/>
      <c r="K43" s="163"/>
      <c r="L43" s="163"/>
      <c r="M43" s="163"/>
      <c r="N43" s="163"/>
      <c r="O43" s="163"/>
      <c r="P43" s="163"/>
      <c r="Q43" s="163"/>
      <c r="R43" s="163"/>
      <c r="S43" s="163"/>
      <c r="T43" s="163"/>
      <c r="U43" s="163"/>
      <c r="V43" s="163"/>
      <c r="W43" s="163"/>
      <c r="X43" s="163"/>
      <c r="Y43" s="163"/>
      <c r="Z43" s="163"/>
      <c r="AA43" s="163"/>
      <c r="AB43" s="163"/>
      <c r="AC43" s="163"/>
      <c r="AD43" s="163"/>
      <c r="AE43" s="163"/>
      <c r="AF43" s="163"/>
      <c r="AG43" s="163"/>
      <c r="AH43" s="163"/>
      <c r="AI43" s="163"/>
      <c r="AJ43" s="163"/>
    </row>
    <row r="44" spans="1:36" ht="15.75" customHeight="1" x14ac:dyDescent="0.3">
      <c r="A44" s="158"/>
      <c r="B44" s="158"/>
      <c r="C44" s="158"/>
      <c r="D44" s="158"/>
      <c r="E44" s="158"/>
      <c r="F44" s="158"/>
      <c r="G44" s="158"/>
      <c r="H44" s="158"/>
      <c r="I44" s="158"/>
      <c r="J44" s="158"/>
      <c r="K44" s="158"/>
      <c r="L44" s="158"/>
      <c r="M44" s="158"/>
      <c r="N44" s="158"/>
      <c r="O44" s="158"/>
      <c r="P44" s="158"/>
      <c r="Q44" s="158"/>
      <c r="R44" s="158"/>
      <c r="S44" s="158"/>
      <c r="T44" s="158"/>
      <c r="U44" s="158"/>
      <c r="V44" s="158"/>
      <c r="W44" s="158"/>
      <c r="X44" s="158"/>
      <c r="Y44" s="158"/>
      <c r="Z44" s="158"/>
      <c r="AA44" s="158"/>
      <c r="AB44" s="158"/>
      <c r="AC44" s="158"/>
      <c r="AD44" s="158"/>
      <c r="AE44" s="158"/>
      <c r="AF44" s="158"/>
      <c r="AG44" s="158"/>
      <c r="AH44" s="158"/>
      <c r="AI44" s="158"/>
      <c r="AJ44" s="158"/>
    </row>
    <row r="45" spans="1:36" ht="27" customHeight="1" x14ac:dyDescent="0.3">
      <c r="A45" s="154" t="s">
        <v>56</v>
      </c>
      <c r="B45" s="154"/>
      <c r="C45" s="154"/>
      <c r="D45" s="154"/>
      <c r="E45" s="154"/>
      <c r="F45" s="154"/>
      <c r="G45" s="154"/>
      <c r="H45" s="154"/>
      <c r="I45" s="154"/>
      <c r="J45" s="154"/>
      <c r="K45" s="154"/>
      <c r="L45" s="154"/>
      <c r="M45" s="154"/>
      <c r="N45" s="154"/>
      <c r="O45" s="154"/>
      <c r="P45" s="154"/>
      <c r="Q45" s="154"/>
      <c r="R45" s="154"/>
      <c r="S45" s="154"/>
      <c r="T45" s="154"/>
      <c r="U45" s="154"/>
      <c r="V45" s="154"/>
      <c r="W45" s="154"/>
      <c r="X45" s="154"/>
      <c r="Y45" s="154"/>
      <c r="Z45" s="154"/>
      <c r="AA45" s="154"/>
      <c r="AB45" s="154"/>
      <c r="AC45" s="154"/>
      <c r="AD45" s="154"/>
      <c r="AE45" s="154"/>
      <c r="AF45" s="154"/>
      <c r="AG45" s="154"/>
      <c r="AH45" s="154"/>
      <c r="AI45" s="154"/>
      <c r="AJ45" s="154"/>
    </row>
    <row r="46" spans="1:36" ht="12.65" customHeight="1" x14ac:dyDescent="0.3">
      <c r="A46" s="141"/>
      <c r="B46" s="141"/>
      <c r="C46" s="141"/>
      <c r="D46" s="141"/>
      <c r="E46" s="141"/>
      <c r="F46" s="141"/>
      <c r="G46" s="141"/>
      <c r="H46" s="141"/>
      <c r="I46" s="141"/>
      <c r="J46" s="141"/>
      <c r="K46" s="141"/>
      <c r="L46" s="141"/>
      <c r="M46" s="141"/>
      <c r="N46" s="141"/>
      <c r="O46" s="141"/>
      <c r="P46" s="141"/>
      <c r="Q46" s="141"/>
      <c r="R46" s="141"/>
      <c r="S46" s="141"/>
      <c r="T46" s="141"/>
      <c r="U46" s="141"/>
      <c r="V46" s="141"/>
      <c r="W46" s="141"/>
      <c r="X46" s="141"/>
      <c r="Y46" s="141"/>
      <c r="Z46" s="141"/>
      <c r="AA46" s="141"/>
      <c r="AB46" s="141"/>
      <c r="AC46" s="141"/>
      <c r="AD46" s="141"/>
      <c r="AE46" s="141"/>
      <c r="AF46" s="141"/>
      <c r="AG46" s="141"/>
      <c r="AH46" s="141"/>
      <c r="AI46" s="141"/>
      <c r="AJ46" s="141"/>
    </row>
    <row r="47" spans="1:36" ht="26.25" customHeight="1" x14ac:dyDescent="0.3">
      <c r="A47" s="154" t="s">
        <v>57</v>
      </c>
      <c r="B47" s="154"/>
      <c r="C47" s="154"/>
      <c r="D47" s="154"/>
      <c r="E47" s="154"/>
      <c r="F47" s="154"/>
      <c r="G47" s="154"/>
      <c r="H47" s="154"/>
      <c r="I47" s="154"/>
      <c r="J47" s="154"/>
      <c r="K47" s="154"/>
      <c r="L47" s="154"/>
      <c r="M47" s="154"/>
      <c r="N47" s="154"/>
      <c r="O47" s="154"/>
      <c r="P47" s="154"/>
      <c r="Q47" s="154"/>
      <c r="R47" s="154"/>
      <c r="S47" s="154"/>
      <c r="T47" s="154"/>
      <c r="U47" s="154"/>
      <c r="V47" s="154"/>
      <c r="W47" s="154"/>
      <c r="X47" s="154"/>
      <c r="Y47" s="154"/>
      <c r="Z47" s="154"/>
      <c r="AA47" s="154"/>
      <c r="AB47" s="154"/>
      <c r="AC47" s="154"/>
      <c r="AD47" s="154"/>
      <c r="AE47" s="154"/>
      <c r="AF47" s="154"/>
      <c r="AG47" s="154"/>
      <c r="AH47" s="154"/>
      <c r="AI47" s="154"/>
      <c r="AJ47" s="154"/>
    </row>
    <row r="48" spans="1:36" ht="15.75" customHeight="1" x14ac:dyDescent="0.3">
      <c r="A48" s="141"/>
      <c r="B48" s="141"/>
      <c r="C48" s="141"/>
      <c r="D48" s="141"/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  <c r="AC48" s="141"/>
      <c r="AD48" s="141"/>
      <c r="AE48" s="141"/>
      <c r="AF48" s="141"/>
      <c r="AG48" s="141"/>
      <c r="AH48" s="141"/>
      <c r="AI48" s="141"/>
      <c r="AJ48" s="141"/>
    </row>
    <row r="49" spans="1:36" ht="27.75" customHeight="1" x14ac:dyDescent="0.3">
      <c r="A49" s="155" t="s">
        <v>59</v>
      </c>
      <c r="B49" s="155"/>
      <c r="C49" s="155"/>
      <c r="D49" s="155"/>
      <c r="E49" s="155"/>
      <c r="F49" s="155"/>
      <c r="G49" s="155"/>
      <c r="H49" s="155"/>
      <c r="I49" s="155"/>
      <c r="J49" s="155"/>
      <c r="K49" s="155"/>
      <c r="L49" s="155"/>
      <c r="M49" s="155"/>
      <c r="N49" s="155"/>
      <c r="O49" s="155"/>
      <c r="P49" s="155"/>
      <c r="Q49" s="155"/>
      <c r="R49" s="155"/>
      <c r="S49" s="155"/>
      <c r="T49" s="155"/>
      <c r="U49" s="155"/>
      <c r="V49" s="155"/>
      <c r="W49" s="155"/>
      <c r="X49" s="155"/>
      <c r="Y49" s="155"/>
      <c r="Z49" s="155"/>
      <c r="AA49" s="155"/>
      <c r="AB49" s="155"/>
      <c r="AC49" s="155"/>
      <c r="AD49" s="155"/>
      <c r="AE49" s="155"/>
      <c r="AF49" s="155"/>
      <c r="AG49" s="155"/>
      <c r="AH49" s="155"/>
      <c r="AI49" s="155"/>
      <c r="AJ49" s="155"/>
    </row>
    <row r="50" spans="1:36" ht="12.65" customHeight="1" x14ac:dyDescent="0.3">
      <c r="A50" s="26"/>
      <c r="B50" s="26"/>
      <c r="C50" s="26"/>
      <c r="D50" s="26"/>
      <c r="E50" s="26"/>
      <c r="F50" s="26"/>
      <c r="G50" s="26"/>
      <c r="H50" s="26"/>
      <c r="I50" s="26"/>
      <c r="J50" s="26"/>
    </row>
    <row r="51" spans="1:36" ht="51.75" customHeight="1" x14ac:dyDescent="0.3">
      <c r="A51" s="160" t="s">
        <v>74</v>
      </c>
      <c r="B51" s="160"/>
      <c r="C51" s="160"/>
      <c r="D51" s="160"/>
      <c r="E51" s="160"/>
      <c r="F51" s="160"/>
      <c r="G51" s="160"/>
      <c r="H51" s="160"/>
      <c r="I51" s="160"/>
      <c r="J51" s="160"/>
      <c r="K51" s="160"/>
      <c r="L51" s="160"/>
      <c r="M51" s="160"/>
      <c r="N51" s="160"/>
      <c r="O51" s="160"/>
      <c r="P51" s="160"/>
      <c r="Q51" s="160"/>
      <c r="R51" s="160"/>
      <c r="S51" s="160"/>
      <c r="T51" s="160"/>
      <c r="U51" s="160"/>
      <c r="V51" s="160"/>
      <c r="W51" s="160"/>
      <c r="X51" s="160"/>
      <c r="Y51" s="160"/>
      <c r="Z51" s="160"/>
      <c r="AA51" s="160"/>
      <c r="AB51" s="160"/>
      <c r="AC51" s="160"/>
      <c r="AD51" s="160"/>
      <c r="AE51" s="160"/>
      <c r="AF51" s="160"/>
      <c r="AG51" s="160"/>
      <c r="AH51" s="160"/>
      <c r="AI51" s="160"/>
      <c r="AJ51" s="160"/>
    </row>
    <row r="52" spans="1:36" ht="60" customHeight="1" x14ac:dyDescent="0.3">
      <c r="A52" s="115" t="s">
        <v>61</v>
      </c>
      <c r="B52" s="107"/>
      <c r="C52" s="115" t="s">
        <v>62</v>
      </c>
      <c r="D52" s="107"/>
      <c r="E52" s="107"/>
      <c r="F52" s="107"/>
      <c r="G52" s="107"/>
      <c r="H52" s="107"/>
      <c r="I52" s="107"/>
      <c r="J52" s="107"/>
      <c r="K52" s="107"/>
      <c r="L52" s="107"/>
      <c r="M52" s="107"/>
      <c r="N52" s="107"/>
      <c r="O52" s="122" t="s">
        <v>63</v>
      </c>
      <c r="P52" s="126"/>
      <c r="Q52" s="126"/>
      <c r="R52" s="126"/>
      <c r="S52" s="126"/>
      <c r="T52" s="126"/>
      <c r="U52" s="127"/>
      <c r="V52" s="122" t="s">
        <v>64</v>
      </c>
      <c r="W52" s="123"/>
      <c r="X52" s="123"/>
      <c r="Y52" s="123"/>
      <c r="Z52" s="123"/>
      <c r="AA52" s="123"/>
      <c r="AB52" s="123"/>
      <c r="AC52" s="123"/>
      <c r="AD52" s="124"/>
      <c r="AE52" s="125" t="s">
        <v>66</v>
      </c>
      <c r="AF52" s="126"/>
      <c r="AG52" s="126"/>
      <c r="AH52" s="126"/>
      <c r="AI52" s="126"/>
      <c r="AJ52" s="127"/>
    </row>
    <row r="53" spans="1:36" ht="21" customHeight="1" x14ac:dyDescent="0.3">
      <c r="A53" s="107" t="s">
        <v>3</v>
      </c>
      <c r="B53" s="107"/>
      <c r="C53" s="107" t="s">
        <v>4</v>
      </c>
      <c r="D53" s="107"/>
      <c r="E53" s="107"/>
      <c r="F53" s="107"/>
      <c r="G53" s="107"/>
      <c r="H53" s="107"/>
      <c r="I53" s="107"/>
      <c r="J53" s="107"/>
      <c r="K53" s="107"/>
      <c r="L53" s="107"/>
      <c r="M53" s="107"/>
      <c r="N53" s="107"/>
      <c r="O53" s="109">
        <v>3</v>
      </c>
      <c r="P53" s="109"/>
      <c r="Q53" s="109"/>
      <c r="R53" s="109"/>
      <c r="S53" s="109"/>
      <c r="T53" s="109"/>
      <c r="U53" s="109"/>
      <c r="V53" s="109">
        <v>4</v>
      </c>
      <c r="W53" s="109"/>
      <c r="X53" s="109"/>
      <c r="Y53" s="109"/>
      <c r="Z53" s="109"/>
      <c r="AA53" s="109"/>
      <c r="AB53" s="109"/>
      <c r="AC53" s="109"/>
      <c r="AD53" s="109"/>
      <c r="AE53" s="109">
        <v>5</v>
      </c>
      <c r="AF53" s="109"/>
      <c r="AG53" s="109"/>
      <c r="AH53" s="109"/>
      <c r="AI53" s="109"/>
      <c r="AJ53" s="109"/>
    </row>
    <row r="54" spans="1:36" ht="28.5" customHeight="1" x14ac:dyDescent="0.3">
      <c r="A54" s="145"/>
      <c r="B54" s="145"/>
      <c r="C54" s="145"/>
      <c r="D54" s="145"/>
      <c r="E54" s="145"/>
      <c r="F54" s="145"/>
      <c r="G54" s="145"/>
      <c r="H54" s="145"/>
      <c r="I54" s="145"/>
      <c r="J54" s="145"/>
      <c r="K54" s="145"/>
      <c r="L54" s="145"/>
      <c r="M54" s="145"/>
      <c r="N54" s="145"/>
      <c r="O54" s="146"/>
      <c r="P54" s="146"/>
      <c r="Q54" s="146"/>
      <c r="R54" s="146"/>
      <c r="S54" s="146"/>
      <c r="T54" s="146"/>
      <c r="U54" s="146"/>
      <c r="V54" s="146"/>
      <c r="W54" s="146"/>
      <c r="X54" s="146"/>
      <c r="Y54" s="146"/>
      <c r="Z54" s="146"/>
      <c r="AA54" s="146"/>
      <c r="AB54" s="146"/>
      <c r="AC54" s="146"/>
      <c r="AD54" s="146"/>
      <c r="AE54" s="146"/>
      <c r="AF54" s="146"/>
      <c r="AG54" s="146"/>
      <c r="AH54" s="146"/>
      <c r="AI54" s="146"/>
      <c r="AJ54" s="146"/>
    </row>
    <row r="55" spans="1:36" ht="28.5" customHeight="1" x14ac:dyDescent="0.3">
      <c r="A55" s="145"/>
      <c r="B55" s="145"/>
      <c r="C55" s="145"/>
      <c r="D55" s="145"/>
      <c r="E55" s="145"/>
      <c r="F55" s="145"/>
      <c r="G55" s="145"/>
      <c r="H55" s="145"/>
      <c r="I55" s="145"/>
      <c r="J55" s="145"/>
      <c r="K55" s="145"/>
      <c r="L55" s="145"/>
      <c r="M55" s="145"/>
      <c r="N55" s="145"/>
      <c r="O55" s="146"/>
      <c r="P55" s="146"/>
      <c r="Q55" s="146"/>
      <c r="R55" s="146"/>
      <c r="S55" s="146"/>
      <c r="T55" s="146"/>
      <c r="U55" s="146"/>
      <c r="V55" s="146"/>
      <c r="W55" s="146"/>
      <c r="X55" s="146"/>
      <c r="Y55" s="146"/>
      <c r="Z55" s="146"/>
      <c r="AA55" s="146"/>
      <c r="AB55" s="146"/>
      <c r="AC55" s="146"/>
      <c r="AD55" s="146"/>
      <c r="AE55" s="146"/>
      <c r="AF55" s="146"/>
      <c r="AG55" s="146"/>
      <c r="AH55" s="146"/>
      <c r="AI55" s="146"/>
      <c r="AJ55" s="146"/>
    </row>
    <row r="56" spans="1:36" ht="28.5" customHeight="1" x14ac:dyDescent="0.3">
      <c r="A56" s="145"/>
      <c r="B56" s="145"/>
      <c r="C56" s="145"/>
      <c r="D56" s="145"/>
      <c r="E56" s="145"/>
      <c r="F56" s="145"/>
      <c r="G56" s="145"/>
      <c r="H56" s="145"/>
      <c r="I56" s="145"/>
      <c r="J56" s="145"/>
      <c r="K56" s="145"/>
      <c r="L56" s="145"/>
      <c r="M56" s="145"/>
      <c r="N56" s="145"/>
      <c r="O56" s="146"/>
      <c r="P56" s="146"/>
      <c r="Q56" s="146"/>
      <c r="R56" s="146"/>
      <c r="S56" s="146"/>
      <c r="T56" s="146"/>
      <c r="U56" s="146"/>
      <c r="V56" s="146"/>
      <c r="W56" s="146"/>
      <c r="X56" s="146"/>
      <c r="Y56" s="146"/>
      <c r="Z56" s="146"/>
      <c r="AA56" s="146"/>
      <c r="AB56" s="146"/>
      <c r="AC56" s="146"/>
      <c r="AD56" s="146"/>
      <c r="AE56" s="146"/>
      <c r="AF56" s="146"/>
      <c r="AG56" s="146"/>
      <c r="AH56" s="146"/>
      <c r="AI56" s="146"/>
      <c r="AJ56" s="146"/>
    </row>
    <row r="57" spans="1:36" ht="28.5" customHeight="1" x14ac:dyDescent="0.3">
      <c r="A57" s="145"/>
      <c r="B57" s="145"/>
      <c r="C57" s="145"/>
      <c r="D57" s="145"/>
      <c r="E57" s="145"/>
      <c r="F57" s="145"/>
      <c r="G57" s="145"/>
      <c r="H57" s="145"/>
      <c r="I57" s="145"/>
      <c r="J57" s="145"/>
      <c r="K57" s="145"/>
      <c r="L57" s="145"/>
      <c r="M57" s="145"/>
      <c r="N57" s="145"/>
      <c r="O57" s="146"/>
      <c r="P57" s="146"/>
      <c r="Q57" s="146"/>
      <c r="R57" s="146"/>
      <c r="S57" s="146"/>
      <c r="T57" s="146"/>
      <c r="U57" s="146"/>
      <c r="V57" s="146"/>
      <c r="W57" s="146"/>
      <c r="X57" s="146"/>
      <c r="Y57" s="146"/>
      <c r="Z57" s="146"/>
      <c r="AA57" s="146"/>
      <c r="AB57" s="146"/>
      <c r="AC57" s="146"/>
      <c r="AD57" s="146"/>
      <c r="AE57" s="146"/>
      <c r="AF57" s="146"/>
      <c r="AG57" s="146"/>
      <c r="AH57" s="146"/>
      <c r="AI57" s="146"/>
      <c r="AJ57" s="146"/>
    </row>
    <row r="58" spans="1:36" ht="12.75" customHeight="1" x14ac:dyDescent="0.3">
      <c r="A58" s="26"/>
      <c r="B58" s="26"/>
      <c r="C58" s="26"/>
      <c r="D58" s="26"/>
      <c r="E58" s="26"/>
      <c r="F58" s="26"/>
      <c r="G58" s="26"/>
      <c r="H58" s="26"/>
      <c r="I58" s="26"/>
      <c r="J58" s="26"/>
    </row>
    <row r="59" spans="1:36" ht="61.5" customHeight="1" x14ac:dyDescent="0.3">
      <c r="A59" s="163" t="s">
        <v>75</v>
      </c>
      <c r="B59" s="163"/>
      <c r="C59" s="163"/>
      <c r="D59" s="163"/>
      <c r="E59" s="163"/>
      <c r="F59" s="163"/>
      <c r="G59" s="163"/>
      <c r="H59" s="163"/>
      <c r="I59" s="163"/>
      <c r="J59" s="163"/>
      <c r="K59" s="163"/>
      <c r="L59" s="163"/>
      <c r="M59" s="163"/>
      <c r="N59" s="163"/>
      <c r="O59" s="163"/>
      <c r="P59" s="163"/>
      <c r="Q59" s="163"/>
      <c r="R59" s="163"/>
      <c r="S59" s="163"/>
      <c r="T59" s="163"/>
      <c r="U59" s="163"/>
      <c r="V59" s="163"/>
      <c r="W59" s="163"/>
      <c r="X59" s="163"/>
      <c r="Y59" s="163"/>
      <c r="Z59" s="163"/>
      <c r="AA59" s="163"/>
      <c r="AB59" s="163"/>
      <c r="AC59" s="163"/>
      <c r="AD59" s="163"/>
      <c r="AE59" s="163"/>
      <c r="AF59" s="163"/>
      <c r="AG59" s="163"/>
      <c r="AH59" s="163"/>
      <c r="AI59" s="163"/>
      <c r="AJ59" s="163"/>
    </row>
    <row r="60" spans="1:36" s="16" customFormat="1" x14ac:dyDescent="0.3">
      <c r="A60" s="129"/>
      <c r="B60" s="129"/>
      <c r="C60" s="129"/>
      <c r="D60" s="129"/>
      <c r="E60" s="129"/>
      <c r="F60" s="129"/>
      <c r="G60" s="129"/>
      <c r="H60" s="129"/>
      <c r="I60" s="129"/>
      <c r="J60" s="129"/>
      <c r="K60" s="129"/>
      <c r="L60" s="129"/>
      <c r="M60" s="129"/>
      <c r="N60" s="129"/>
      <c r="O60" s="129"/>
      <c r="P60" s="129"/>
      <c r="Q60" s="129"/>
      <c r="R60" s="129"/>
      <c r="S60" s="129"/>
      <c r="T60" s="129"/>
      <c r="U60" s="129"/>
      <c r="V60" s="129"/>
      <c r="W60" s="129"/>
      <c r="X60" s="129"/>
      <c r="Y60" s="129"/>
      <c r="Z60" s="129"/>
      <c r="AA60" s="129"/>
      <c r="AB60" s="129"/>
      <c r="AC60" s="129"/>
      <c r="AD60" s="129"/>
      <c r="AE60" s="129"/>
      <c r="AF60" s="129"/>
      <c r="AG60" s="129"/>
      <c r="AH60" s="129"/>
      <c r="AI60" s="129"/>
      <c r="AJ60" s="129"/>
    </row>
    <row r="61" spans="1:36" s="16" customFormat="1" ht="12" customHeight="1" x14ac:dyDescent="0.25">
      <c r="A61" s="161" t="s">
        <v>76</v>
      </c>
      <c r="B61" s="162"/>
      <c r="C61" s="162"/>
      <c r="D61" s="162"/>
      <c r="E61" s="162"/>
      <c r="F61" s="162"/>
      <c r="G61" s="162"/>
      <c r="H61" s="162"/>
      <c r="I61" s="162"/>
      <c r="J61" s="162"/>
      <c r="K61" s="162"/>
      <c r="L61" s="162"/>
      <c r="M61" s="162"/>
      <c r="N61" s="162"/>
      <c r="O61" s="162"/>
      <c r="P61" s="162"/>
      <c r="Q61" s="162"/>
      <c r="R61" s="162"/>
      <c r="S61" s="162"/>
      <c r="T61" s="162"/>
      <c r="U61" s="162"/>
      <c r="V61" s="162"/>
      <c r="W61" s="162"/>
      <c r="X61" s="162"/>
      <c r="Y61" s="162"/>
      <c r="Z61" s="162"/>
      <c r="AA61" s="162"/>
      <c r="AB61" s="162"/>
      <c r="AC61" s="162"/>
      <c r="AD61" s="162"/>
      <c r="AE61" s="162"/>
      <c r="AF61" s="162"/>
      <c r="AG61" s="162"/>
      <c r="AH61" s="162"/>
      <c r="AI61" s="162"/>
      <c r="AJ61" s="162"/>
    </row>
    <row r="62" spans="1:36" s="16" customFormat="1" x14ac:dyDescent="0.3">
      <c r="A62" s="129"/>
      <c r="B62" s="129"/>
      <c r="C62" s="129"/>
      <c r="D62" s="129"/>
      <c r="E62" s="129"/>
      <c r="F62" s="129"/>
      <c r="G62" s="129"/>
      <c r="H62" s="129"/>
      <c r="I62" s="129"/>
      <c r="J62" s="129"/>
      <c r="K62" s="129"/>
      <c r="L62" s="129"/>
      <c r="M62" s="129"/>
      <c r="N62" s="129"/>
      <c r="O62" s="129"/>
      <c r="P62" s="129"/>
      <c r="Q62" s="129"/>
      <c r="R62" s="129"/>
      <c r="S62" s="129"/>
      <c r="T62" s="129"/>
      <c r="U62" s="129"/>
      <c r="V62" s="129"/>
      <c r="W62" s="129"/>
      <c r="X62" s="129"/>
      <c r="Y62" s="129"/>
      <c r="Z62" s="129"/>
      <c r="AA62" s="129"/>
      <c r="AB62" s="129"/>
      <c r="AC62" s="129"/>
      <c r="AD62" s="129"/>
      <c r="AE62" s="129"/>
      <c r="AF62" s="129"/>
      <c r="AG62" s="129"/>
      <c r="AH62" s="129"/>
      <c r="AI62" s="129"/>
      <c r="AJ62" s="129"/>
    </row>
    <row r="63" spans="1:36" s="16" customFormat="1" ht="12.75" customHeight="1" x14ac:dyDescent="0.25">
      <c r="A63" s="161" t="s">
        <v>77</v>
      </c>
      <c r="B63" s="162"/>
      <c r="C63" s="162"/>
      <c r="D63" s="162"/>
      <c r="E63" s="162"/>
      <c r="F63" s="162"/>
      <c r="G63" s="162"/>
      <c r="H63" s="162"/>
      <c r="I63" s="162"/>
      <c r="J63" s="162"/>
      <c r="K63" s="162"/>
      <c r="L63" s="162"/>
      <c r="M63" s="162"/>
      <c r="N63" s="162"/>
      <c r="O63" s="162"/>
      <c r="P63" s="162"/>
      <c r="Q63" s="162"/>
      <c r="R63" s="162"/>
      <c r="S63" s="162"/>
      <c r="T63" s="162"/>
      <c r="U63" s="162"/>
      <c r="V63" s="162"/>
      <c r="W63" s="162"/>
      <c r="X63" s="162"/>
      <c r="Y63" s="162"/>
      <c r="Z63" s="162"/>
      <c r="AA63" s="162"/>
      <c r="AB63" s="162"/>
      <c r="AC63" s="162"/>
      <c r="AD63" s="162"/>
      <c r="AE63" s="162"/>
      <c r="AF63" s="162"/>
      <c r="AG63" s="162"/>
      <c r="AH63" s="162"/>
      <c r="AI63" s="162"/>
      <c r="AJ63" s="162"/>
    </row>
    <row r="64" spans="1:36" s="16" customFormat="1" ht="19.5" customHeight="1" x14ac:dyDescent="0.25">
      <c r="A64" s="30"/>
      <c r="B64" s="31"/>
      <c r="C64" s="31"/>
      <c r="D64" s="31"/>
      <c r="E64" s="31"/>
      <c r="F64" s="31"/>
      <c r="G64" s="31"/>
      <c r="H64" s="31"/>
      <c r="I64" s="31"/>
      <c r="J64" s="31"/>
      <c r="K64" s="31"/>
      <c r="L64" s="31"/>
      <c r="M64" s="31"/>
      <c r="N64" s="31"/>
      <c r="O64" s="31"/>
      <c r="P64" s="31"/>
      <c r="Q64" s="31"/>
      <c r="R64" s="31"/>
      <c r="S64" s="31"/>
      <c r="T64" s="31"/>
      <c r="U64" s="31"/>
      <c r="V64" s="31"/>
      <c r="W64" s="31"/>
      <c r="X64" s="31"/>
      <c r="Y64" s="31"/>
      <c r="Z64" s="31"/>
      <c r="AA64" s="31"/>
      <c r="AB64" s="31"/>
      <c r="AC64" s="31"/>
      <c r="AD64" s="31"/>
      <c r="AE64" s="31"/>
      <c r="AF64" s="31"/>
      <c r="AG64" s="31"/>
      <c r="AH64" s="31"/>
      <c r="AI64" s="31"/>
      <c r="AJ64" s="31"/>
    </row>
    <row r="65" spans="1:36" s="16" customFormat="1" ht="24.75" customHeight="1" x14ac:dyDescent="0.25">
      <c r="A65" s="23" t="s">
        <v>78</v>
      </c>
      <c r="B65" s="24"/>
      <c r="C65" s="24"/>
      <c r="D65" s="24"/>
      <c r="E65" s="24"/>
      <c r="F65" s="24"/>
      <c r="G65" s="24"/>
      <c r="H65" s="24"/>
      <c r="I65" s="24"/>
      <c r="J65" s="24"/>
      <c r="K65" s="19"/>
    </row>
    <row r="66" spans="1:36" ht="15.75" customHeight="1" x14ac:dyDescent="0.3">
      <c r="A66" s="158"/>
      <c r="B66" s="158"/>
      <c r="C66" s="158"/>
      <c r="D66" s="158"/>
      <c r="E66" s="158"/>
      <c r="F66" s="158"/>
      <c r="G66" s="158"/>
      <c r="H66" s="158"/>
      <c r="I66" s="158"/>
      <c r="J66" s="158"/>
      <c r="K66" s="158"/>
      <c r="L66" s="158"/>
      <c r="M66" s="158"/>
      <c r="N66" s="158"/>
      <c r="O66" s="158"/>
      <c r="P66" s="158"/>
      <c r="Q66" s="158"/>
      <c r="R66" s="158"/>
      <c r="S66" s="158"/>
      <c r="T66" s="158"/>
      <c r="U66" s="158"/>
      <c r="V66" s="158"/>
      <c r="W66" s="158"/>
      <c r="X66" s="158"/>
      <c r="Y66" s="158"/>
      <c r="Z66" s="158"/>
      <c r="AA66" s="158"/>
      <c r="AB66" s="158"/>
      <c r="AC66" s="158"/>
      <c r="AD66" s="158"/>
      <c r="AE66" s="158"/>
      <c r="AF66" s="158"/>
      <c r="AG66" s="158"/>
      <c r="AH66" s="158"/>
      <c r="AI66" s="158"/>
      <c r="AJ66" s="158"/>
    </row>
    <row r="67" spans="1:36" ht="21.75" customHeight="1" x14ac:dyDescent="0.3">
      <c r="A67" s="154" t="s">
        <v>56</v>
      </c>
      <c r="B67" s="154"/>
      <c r="C67" s="154"/>
      <c r="D67" s="154"/>
      <c r="E67" s="154"/>
      <c r="F67" s="154"/>
      <c r="G67" s="154"/>
      <c r="H67" s="154"/>
      <c r="I67" s="154"/>
      <c r="J67" s="154"/>
      <c r="K67" s="154"/>
      <c r="L67" s="154"/>
      <c r="M67" s="154"/>
      <c r="N67" s="154"/>
      <c r="O67" s="154"/>
      <c r="P67" s="154"/>
      <c r="Q67" s="154"/>
      <c r="R67" s="154"/>
      <c r="S67" s="154"/>
      <c r="T67" s="154"/>
      <c r="U67" s="154"/>
      <c r="V67" s="154"/>
      <c r="W67" s="154"/>
      <c r="X67" s="154"/>
      <c r="Y67" s="154"/>
      <c r="Z67" s="154"/>
      <c r="AA67" s="154"/>
      <c r="AB67" s="154"/>
      <c r="AC67" s="154"/>
      <c r="AD67" s="154"/>
      <c r="AE67" s="154"/>
      <c r="AF67" s="154"/>
      <c r="AG67" s="154"/>
      <c r="AH67" s="154"/>
      <c r="AI67" s="154"/>
      <c r="AJ67" s="154"/>
    </row>
    <row r="68" spans="1:36" ht="12.65" customHeight="1" x14ac:dyDescent="0.3">
      <c r="A68" s="141"/>
      <c r="B68" s="141"/>
      <c r="C68" s="141"/>
      <c r="D68" s="141"/>
      <c r="E68" s="141"/>
      <c r="F68" s="141"/>
      <c r="G68" s="141"/>
      <c r="H68" s="141"/>
      <c r="I68" s="141"/>
      <c r="J68" s="141"/>
      <c r="K68" s="141"/>
      <c r="L68" s="141"/>
      <c r="M68" s="141"/>
      <c r="N68" s="141"/>
      <c r="O68" s="141"/>
      <c r="P68" s="141"/>
      <c r="Q68" s="141"/>
      <c r="R68" s="141"/>
      <c r="S68" s="141"/>
      <c r="T68" s="141"/>
      <c r="U68" s="141"/>
      <c r="V68" s="141"/>
      <c r="W68" s="141"/>
      <c r="X68" s="141"/>
      <c r="Y68" s="141"/>
      <c r="Z68" s="141"/>
      <c r="AA68" s="141"/>
      <c r="AB68" s="141"/>
      <c r="AC68" s="141"/>
      <c r="AD68" s="141"/>
      <c r="AE68" s="141"/>
      <c r="AF68" s="141"/>
      <c r="AG68" s="141"/>
      <c r="AH68" s="141"/>
      <c r="AI68" s="141"/>
      <c r="AJ68" s="141"/>
    </row>
    <row r="69" spans="1:36" ht="26.25" customHeight="1" x14ac:dyDescent="0.3">
      <c r="A69" s="154" t="s">
        <v>57</v>
      </c>
      <c r="B69" s="154"/>
      <c r="C69" s="154"/>
      <c r="D69" s="154"/>
      <c r="E69" s="154"/>
      <c r="F69" s="154"/>
      <c r="G69" s="154"/>
      <c r="H69" s="154"/>
      <c r="I69" s="154"/>
      <c r="J69" s="154"/>
      <c r="K69" s="154"/>
      <c r="L69" s="154"/>
      <c r="M69" s="154"/>
      <c r="N69" s="154"/>
      <c r="O69" s="154"/>
      <c r="P69" s="154"/>
      <c r="Q69" s="154"/>
      <c r="R69" s="154"/>
      <c r="S69" s="154"/>
      <c r="T69" s="154"/>
      <c r="U69" s="154"/>
      <c r="V69" s="154"/>
      <c r="W69" s="154"/>
      <c r="X69" s="154"/>
      <c r="Y69" s="154"/>
      <c r="Z69" s="154"/>
      <c r="AA69" s="154"/>
      <c r="AB69" s="154"/>
      <c r="AC69" s="154"/>
      <c r="AD69" s="154"/>
      <c r="AE69" s="154"/>
      <c r="AF69" s="154"/>
      <c r="AG69" s="154"/>
      <c r="AH69" s="154"/>
      <c r="AI69" s="154"/>
      <c r="AJ69" s="154"/>
    </row>
    <row r="70" spans="1:36" ht="15.75" customHeight="1" x14ac:dyDescent="0.3">
      <c r="A70" s="141"/>
      <c r="B70" s="141"/>
      <c r="C70" s="141"/>
      <c r="D70" s="141"/>
      <c r="E70" s="141"/>
      <c r="F70" s="141"/>
      <c r="G70" s="141"/>
      <c r="H70" s="141"/>
      <c r="I70" s="141"/>
      <c r="J70" s="141"/>
      <c r="K70" s="141"/>
      <c r="L70" s="141"/>
      <c r="M70" s="141"/>
      <c r="N70" s="141"/>
      <c r="O70" s="141"/>
      <c r="P70" s="141"/>
      <c r="Q70" s="141"/>
      <c r="R70" s="141"/>
      <c r="S70" s="141"/>
      <c r="T70" s="141"/>
      <c r="U70" s="141"/>
      <c r="V70" s="141"/>
      <c r="W70" s="141"/>
      <c r="X70" s="141"/>
      <c r="Y70" s="141"/>
      <c r="Z70" s="141"/>
      <c r="AA70" s="141"/>
      <c r="AB70" s="141"/>
      <c r="AC70" s="141"/>
      <c r="AD70" s="141"/>
      <c r="AE70" s="141"/>
      <c r="AF70" s="141"/>
      <c r="AG70" s="141"/>
      <c r="AH70" s="141"/>
      <c r="AI70" s="141"/>
      <c r="AJ70" s="141"/>
    </row>
    <row r="71" spans="1:36" ht="50.25" customHeight="1" x14ac:dyDescent="0.3">
      <c r="A71" s="155" t="s">
        <v>79</v>
      </c>
      <c r="B71" s="155"/>
      <c r="C71" s="155"/>
      <c r="D71" s="155"/>
      <c r="E71" s="155"/>
      <c r="F71" s="155"/>
      <c r="G71" s="155"/>
      <c r="H71" s="155"/>
      <c r="I71" s="155"/>
      <c r="J71" s="155"/>
      <c r="K71" s="155"/>
      <c r="L71" s="155"/>
      <c r="M71" s="155"/>
      <c r="N71" s="155"/>
      <c r="O71" s="155"/>
      <c r="P71" s="155"/>
      <c r="Q71" s="155"/>
      <c r="R71" s="155"/>
      <c r="S71" s="155"/>
      <c r="T71" s="155"/>
      <c r="U71" s="155"/>
      <c r="V71" s="155"/>
      <c r="W71" s="155"/>
      <c r="X71" s="155"/>
      <c r="Y71" s="155"/>
      <c r="Z71" s="155"/>
      <c r="AA71" s="155"/>
      <c r="AB71" s="155"/>
      <c r="AC71" s="155"/>
      <c r="AD71" s="155"/>
      <c r="AE71" s="155"/>
      <c r="AF71" s="155"/>
      <c r="AG71" s="155"/>
      <c r="AH71" s="155"/>
      <c r="AI71" s="155"/>
      <c r="AJ71" s="155"/>
    </row>
    <row r="72" spans="1:36" s="16" customFormat="1" ht="9.75" customHeight="1" x14ac:dyDescent="0.25">
      <c r="A72" s="21"/>
      <c r="B72" s="21"/>
      <c r="C72" s="21"/>
      <c r="D72" s="21"/>
      <c r="E72" s="21"/>
      <c r="F72" s="21"/>
      <c r="G72" s="21"/>
      <c r="H72" s="21"/>
      <c r="I72" s="21"/>
      <c r="J72" s="21"/>
      <c r="K72" s="19"/>
    </row>
    <row r="73" spans="1:36" s="16" customFormat="1" ht="50.25" customHeight="1" x14ac:dyDescent="0.25">
      <c r="A73" s="160" t="s">
        <v>80</v>
      </c>
      <c r="B73" s="160"/>
      <c r="C73" s="160"/>
      <c r="D73" s="160"/>
      <c r="E73" s="160"/>
      <c r="F73" s="160"/>
      <c r="G73" s="160"/>
      <c r="H73" s="160"/>
      <c r="I73" s="160"/>
      <c r="J73" s="160"/>
      <c r="K73" s="160"/>
      <c r="L73" s="160"/>
      <c r="M73" s="160"/>
      <c r="N73" s="160"/>
      <c r="O73" s="160"/>
      <c r="P73" s="160"/>
      <c r="Q73" s="160"/>
      <c r="R73" s="160"/>
      <c r="S73" s="160"/>
      <c r="T73" s="160"/>
      <c r="U73" s="160"/>
      <c r="V73" s="160"/>
      <c r="W73" s="160"/>
      <c r="X73" s="160"/>
      <c r="Y73" s="160"/>
      <c r="Z73" s="160"/>
      <c r="AA73" s="160"/>
      <c r="AB73" s="160"/>
      <c r="AC73" s="160"/>
      <c r="AD73" s="160"/>
      <c r="AE73" s="160"/>
      <c r="AF73" s="160"/>
      <c r="AG73" s="160"/>
      <c r="AH73" s="160"/>
      <c r="AI73" s="160"/>
      <c r="AJ73" s="160"/>
    </row>
    <row r="74" spans="1:36" s="16" customFormat="1" ht="174" customHeight="1" x14ac:dyDescent="0.25">
      <c r="A74" s="110" t="s">
        <v>81</v>
      </c>
      <c r="B74" s="110"/>
      <c r="C74" s="110" t="s">
        <v>82</v>
      </c>
      <c r="D74" s="110"/>
      <c r="E74" s="110"/>
      <c r="F74" s="110"/>
      <c r="G74" s="110"/>
      <c r="H74" s="110"/>
      <c r="I74" s="110"/>
      <c r="J74" s="110" t="s">
        <v>83</v>
      </c>
      <c r="K74" s="110"/>
      <c r="L74" s="110"/>
      <c r="M74" s="110"/>
      <c r="N74" s="110"/>
      <c r="O74" s="110" t="s">
        <v>72</v>
      </c>
      <c r="P74" s="110"/>
      <c r="Q74" s="110"/>
      <c r="R74" s="110"/>
      <c r="S74" s="110"/>
      <c r="T74" s="110" t="s">
        <v>65</v>
      </c>
      <c r="U74" s="110"/>
      <c r="V74" s="110"/>
      <c r="W74" s="110"/>
      <c r="X74" s="110"/>
      <c r="Y74" s="110"/>
      <c r="Z74" s="110"/>
      <c r="AA74" s="110"/>
      <c r="AB74" s="110"/>
      <c r="AC74" s="110"/>
      <c r="AD74" s="110"/>
      <c r="AE74" s="110"/>
      <c r="AF74" s="110"/>
      <c r="AG74" s="110" t="s">
        <v>66</v>
      </c>
      <c r="AH74" s="110"/>
      <c r="AI74" s="110"/>
      <c r="AJ74" s="110"/>
    </row>
    <row r="75" spans="1:36" s="16" customFormat="1" ht="14.25" customHeight="1" x14ac:dyDescent="0.25">
      <c r="A75" s="110" t="s">
        <v>3</v>
      </c>
      <c r="B75" s="110"/>
      <c r="C75" s="110" t="s">
        <v>4</v>
      </c>
      <c r="D75" s="110"/>
      <c r="E75" s="110"/>
      <c r="F75" s="110"/>
      <c r="G75" s="110"/>
      <c r="H75" s="110"/>
      <c r="I75" s="110"/>
      <c r="J75" s="110" t="s">
        <v>5</v>
      </c>
      <c r="K75" s="110"/>
      <c r="L75" s="110"/>
      <c r="M75" s="110"/>
      <c r="N75" s="110"/>
      <c r="O75" s="110" t="s">
        <v>6</v>
      </c>
      <c r="P75" s="110"/>
      <c r="Q75" s="110"/>
      <c r="R75" s="110"/>
      <c r="S75" s="110"/>
      <c r="T75" s="110" t="s">
        <v>21</v>
      </c>
      <c r="U75" s="110"/>
      <c r="V75" s="110"/>
      <c r="W75" s="110"/>
      <c r="X75" s="110"/>
      <c r="Y75" s="110"/>
      <c r="Z75" s="110"/>
      <c r="AA75" s="110"/>
      <c r="AB75" s="110"/>
      <c r="AC75" s="110"/>
      <c r="AD75" s="110"/>
      <c r="AE75" s="110"/>
      <c r="AF75" s="110"/>
      <c r="AG75" s="110" t="s">
        <v>67</v>
      </c>
      <c r="AH75" s="110"/>
      <c r="AI75" s="110"/>
      <c r="AJ75" s="110"/>
    </row>
    <row r="76" spans="1:36" s="16" customFormat="1" ht="19.5" customHeight="1" x14ac:dyDescent="0.25">
      <c r="A76" s="110"/>
      <c r="B76" s="110"/>
      <c r="C76" s="110"/>
      <c r="D76" s="110"/>
      <c r="E76" s="110"/>
      <c r="F76" s="110"/>
      <c r="G76" s="110"/>
      <c r="H76" s="110"/>
      <c r="I76" s="110"/>
      <c r="J76" s="110"/>
      <c r="K76" s="110"/>
      <c r="L76" s="110"/>
      <c r="M76" s="110"/>
      <c r="N76" s="110"/>
      <c r="O76" s="110"/>
      <c r="P76" s="110"/>
      <c r="Q76" s="110"/>
      <c r="R76" s="110"/>
      <c r="S76" s="110"/>
      <c r="T76" s="110"/>
      <c r="U76" s="110"/>
      <c r="V76" s="110"/>
      <c r="W76" s="110"/>
      <c r="X76" s="110"/>
      <c r="Y76" s="110"/>
      <c r="Z76" s="110"/>
      <c r="AA76" s="110"/>
      <c r="AB76" s="110"/>
      <c r="AC76" s="110"/>
      <c r="AD76" s="110"/>
      <c r="AE76" s="110"/>
      <c r="AF76" s="110"/>
      <c r="AG76" s="110"/>
      <c r="AH76" s="110"/>
      <c r="AI76" s="110"/>
      <c r="AJ76" s="110"/>
    </row>
    <row r="77" spans="1:36" s="16" customFormat="1" ht="19.5" customHeight="1" x14ac:dyDescent="0.25">
      <c r="A77" s="110"/>
      <c r="B77" s="110"/>
      <c r="C77" s="110"/>
      <c r="D77" s="110"/>
      <c r="E77" s="110"/>
      <c r="F77" s="110"/>
      <c r="G77" s="110"/>
      <c r="H77" s="110"/>
      <c r="I77" s="110"/>
      <c r="J77" s="110"/>
      <c r="K77" s="110"/>
      <c r="L77" s="110"/>
      <c r="M77" s="110"/>
      <c r="N77" s="110"/>
      <c r="O77" s="110"/>
      <c r="P77" s="110"/>
      <c r="Q77" s="110"/>
      <c r="R77" s="110"/>
      <c r="S77" s="110"/>
      <c r="T77" s="110"/>
      <c r="U77" s="110"/>
      <c r="V77" s="110"/>
      <c r="W77" s="110"/>
      <c r="X77" s="110"/>
      <c r="Y77" s="110"/>
      <c r="Z77" s="110"/>
      <c r="AA77" s="110"/>
      <c r="AB77" s="110"/>
      <c r="AC77" s="110"/>
      <c r="AD77" s="110"/>
      <c r="AE77" s="110"/>
      <c r="AF77" s="110"/>
      <c r="AG77" s="110"/>
      <c r="AH77" s="110"/>
      <c r="AI77" s="110"/>
      <c r="AJ77" s="110"/>
    </row>
    <row r="78" spans="1:36" s="16" customFormat="1" ht="19.5" customHeight="1" x14ac:dyDescent="0.25">
      <c r="A78" s="110"/>
      <c r="B78" s="110"/>
      <c r="C78" s="110"/>
      <c r="D78" s="110"/>
      <c r="E78" s="110"/>
      <c r="F78" s="110"/>
      <c r="G78" s="110"/>
      <c r="H78" s="110"/>
      <c r="I78" s="110"/>
      <c r="J78" s="110"/>
      <c r="K78" s="110"/>
      <c r="L78" s="110"/>
      <c r="M78" s="110"/>
      <c r="N78" s="110"/>
      <c r="O78" s="110"/>
      <c r="P78" s="110"/>
      <c r="Q78" s="110"/>
      <c r="R78" s="110"/>
      <c r="S78" s="110"/>
      <c r="T78" s="110"/>
      <c r="U78" s="110"/>
      <c r="V78" s="110"/>
      <c r="W78" s="110"/>
      <c r="X78" s="110"/>
      <c r="Y78" s="110"/>
      <c r="Z78" s="110"/>
      <c r="AA78" s="110"/>
      <c r="AB78" s="110"/>
      <c r="AC78" s="110"/>
      <c r="AD78" s="110"/>
      <c r="AE78" s="110"/>
      <c r="AF78" s="110"/>
      <c r="AG78" s="110"/>
      <c r="AH78" s="110"/>
      <c r="AI78" s="110"/>
      <c r="AJ78" s="110"/>
    </row>
    <row r="79" spans="1:36" s="16" customFormat="1" ht="19.5" customHeight="1" x14ac:dyDescent="0.25">
      <c r="A79" s="110"/>
      <c r="B79" s="110"/>
      <c r="C79" s="110"/>
      <c r="D79" s="110"/>
      <c r="E79" s="110"/>
      <c r="F79" s="110"/>
      <c r="G79" s="110"/>
      <c r="H79" s="110"/>
      <c r="I79" s="110"/>
      <c r="J79" s="110"/>
      <c r="K79" s="110"/>
      <c r="L79" s="110"/>
      <c r="M79" s="110"/>
      <c r="N79" s="110"/>
      <c r="O79" s="110"/>
      <c r="P79" s="110"/>
      <c r="Q79" s="110"/>
      <c r="R79" s="110"/>
      <c r="S79" s="110"/>
      <c r="T79" s="110"/>
      <c r="U79" s="110"/>
      <c r="V79" s="110"/>
      <c r="W79" s="110"/>
      <c r="X79" s="110"/>
      <c r="Y79" s="110"/>
      <c r="Z79" s="110"/>
      <c r="AA79" s="110"/>
      <c r="AB79" s="110"/>
      <c r="AC79" s="110"/>
      <c r="AD79" s="110"/>
      <c r="AE79" s="110"/>
      <c r="AF79" s="110"/>
      <c r="AG79" s="110"/>
      <c r="AH79" s="110"/>
      <c r="AI79" s="110"/>
      <c r="AJ79" s="110"/>
    </row>
    <row r="80" spans="1:36" ht="12.65" customHeight="1" x14ac:dyDescent="0.3">
      <c r="A80" s="23"/>
      <c r="B80" s="23"/>
      <c r="C80" s="23"/>
      <c r="D80" s="23"/>
      <c r="E80" s="23"/>
      <c r="F80" s="23"/>
      <c r="G80" s="24"/>
      <c r="H80" s="24"/>
      <c r="I80" s="24"/>
      <c r="J80" s="24"/>
    </row>
    <row r="81" spans="1:36" ht="78.75" customHeight="1" x14ac:dyDescent="0.3">
      <c r="A81" s="157" t="s">
        <v>84</v>
      </c>
      <c r="B81" s="157"/>
      <c r="C81" s="157"/>
      <c r="D81" s="157"/>
      <c r="E81" s="157"/>
      <c r="F81" s="157"/>
      <c r="G81" s="157"/>
      <c r="H81" s="157"/>
      <c r="I81" s="157"/>
      <c r="J81" s="157"/>
      <c r="K81" s="157"/>
      <c r="L81" s="157"/>
      <c r="M81" s="157"/>
      <c r="N81" s="157"/>
      <c r="O81" s="157"/>
      <c r="P81" s="157"/>
      <c r="Q81" s="157"/>
      <c r="R81" s="157"/>
      <c r="S81" s="157"/>
      <c r="T81" s="157"/>
      <c r="U81" s="157"/>
      <c r="V81" s="157"/>
      <c r="W81" s="157"/>
      <c r="X81" s="157"/>
      <c r="Y81" s="157"/>
      <c r="Z81" s="157"/>
      <c r="AA81" s="157"/>
      <c r="AB81" s="157"/>
      <c r="AC81" s="157"/>
      <c r="AD81" s="157"/>
      <c r="AE81" s="157"/>
      <c r="AF81" s="157"/>
      <c r="AG81" s="157"/>
      <c r="AH81" s="157"/>
      <c r="AI81" s="157"/>
      <c r="AJ81" s="157"/>
    </row>
    <row r="82" spans="1:36" ht="13.5" customHeight="1" x14ac:dyDescent="0.3">
      <c r="A82" s="158"/>
      <c r="B82" s="158"/>
      <c r="C82" s="158"/>
      <c r="D82" s="158"/>
      <c r="E82" s="158"/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8"/>
      <c r="AF82" s="158"/>
      <c r="AG82" s="158"/>
      <c r="AH82" s="158"/>
      <c r="AI82" s="158"/>
      <c r="AJ82" s="158"/>
    </row>
    <row r="83" spans="1:36" ht="15" customHeight="1" x14ac:dyDescent="0.3">
      <c r="A83" s="159" t="s">
        <v>85</v>
      </c>
      <c r="B83" s="159"/>
      <c r="C83" s="159"/>
      <c r="D83" s="159"/>
      <c r="E83" s="159"/>
      <c r="F83" s="159"/>
      <c r="G83" s="159"/>
      <c r="H83" s="159"/>
      <c r="I83" s="159"/>
      <c r="J83" s="159"/>
      <c r="K83" s="159"/>
      <c r="L83" s="159"/>
      <c r="M83" s="159"/>
      <c r="N83" s="159"/>
      <c r="O83" s="159"/>
      <c r="P83" s="159"/>
      <c r="Q83" s="159"/>
      <c r="R83" s="159"/>
      <c r="S83" s="159"/>
      <c r="T83" s="159"/>
      <c r="U83" s="159"/>
      <c r="V83" s="159"/>
      <c r="W83" s="159"/>
      <c r="X83" s="159"/>
      <c r="Y83" s="159"/>
      <c r="Z83" s="159"/>
      <c r="AA83" s="159"/>
      <c r="AB83" s="159"/>
      <c r="AC83" s="159"/>
      <c r="AD83" s="159"/>
      <c r="AE83" s="159"/>
      <c r="AF83" s="159"/>
      <c r="AG83" s="159"/>
      <c r="AH83" s="159"/>
      <c r="AI83" s="159"/>
      <c r="AJ83" s="159"/>
    </row>
    <row r="84" spans="1:36" ht="12.75" customHeight="1" x14ac:dyDescent="0.3">
      <c r="A84" s="32"/>
      <c r="B84" s="32"/>
      <c r="C84" s="32"/>
      <c r="D84" s="32"/>
      <c r="E84" s="32"/>
      <c r="F84" s="32"/>
      <c r="G84" s="32"/>
      <c r="H84" s="32"/>
      <c r="I84" s="32"/>
      <c r="J84" s="32"/>
      <c r="K84" s="32"/>
      <c r="L84" s="32"/>
      <c r="M84" s="32"/>
      <c r="N84" s="32"/>
      <c r="O84" s="32"/>
      <c r="P84" s="32"/>
      <c r="Q84" s="32"/>
      <c r="R84" s="32"/>
      <c r="S84" s="32"/>
      <c r="T84" s="32"/>
      <c r="U84" s="32"/>
      <c r="V84" s="32"/>
      <c r="W84" s="32"/>
      <c r="X84" s="32"/>
      <c r="Y84" s="32"/>
      <c r="Z84" s="32"/>
      <c r="AA84" s="32"/>
      <c r="AB84" s="32"/>
      <c r="AC84" s="32"/>
      <c r="AD84" s="32"/>
      <c r="AE84" s="32"/>
      <c r="AF84" s="32"/>
      <c r="AG84" s="32"/>
      <c r="AH84" s="32"/>
      <c r="AI84" s="32"/>
      <c r="AJ84" s="32"/>
    </row>
    <row r="85" spans="1:36" ht="18" customHeight="1" x14ac:dyDescent="0.3">
      <c r="A85" s="33" t="s">
        <v>86</v>
      </c>
      <c r="B85" s="32"/>
      <c r="C85" s="32"/>
      <c r="D85" s="32"/>
      <c r="E85" s="32"/>
      <c r="F85" s="32"/>
      <c r="G85" s="32"/>
      <c r="H85" s="32"/>
      <c r="I85" s="32"/>
      <c r="J85" s="32"/>
    </row>
    <row r="86" spans="1:36" ht="15.75" customHeight="1" x14ac:dyDescent="0.3">
      <c r="A86" s="158"/>
      <c r="B86" s="158"/>
      <c r="C86" s="158"/>
      <c r="D86" s="158"/>
      <c r="E86" s="158"/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8"/>
      <c r="AF86" s="158"/>
      <c r="AG86" s="158"/>
      <c r="AH86" s="158"/>
      <c r="AI86" s="158"/>
      <c r="AJ86" s="158"/>
    </row>
    <row r="87" spans="1:36" ht="25.5" customHeight="1" x14ac:dyDescent="0.3">
      <c r="A87" s="154" t="s">
        <v>56</v>
      </c>
      <c r="B87" s="154"/>
      <c r="C87" s="154"/>
      <c r="D87" s="154"/>
      <c r="E87" s="154"/>
      <c r="F87" s="154"/>
      <c r="G87" s="154"/>
      <c r="H87" s="154"/>
      <c r="I87" s="154"/>
      <c r="J87" s="154"/>
      <c r="K87" s="154"/>
      <c r="L87" s="154"/>
      <c r="M87" s="154"/>
      <c r="N87" s="154"/>
      <c r="O87" s="154"/>
      <c r="P87" s="154"/>
      <c r="Q87" s="154"/>
      <c r="R87" s="154"/>
      <c r="S87" s="154"/>
      <c r="T87" s="154"/>
      <c r="U87" s="154"/>
      <c r="V87" s="154"/>
      <c r="W87" s="154"/>
      <c r="X87" s="154"/>
      <c r="Y87" s="154"/>
      <c r="Z87" s="154"/>
      <c r="AA87" s="154"/>
      <c r="AB87" s="154"/>
      <c r="AC87" s="154"/>
      <c r="AD87" s="154"/>
      <c r="AE87" s="154"/>
      <c r="AF87" s="154"/>
      <c r="AG87" s="154"/>
      <c r="AH87" s="154"/>
      <c r="AI87" s="154"/>
      <c r="AJ87" s="154"/>
    </row>
    <row r="88" spans="1:36" ht="12.65" customHeight="1" x14ac:dyDescent="0.3">
      <c r="A88" s="141"/>
      <c r="B88" s="141"/>
      <c r="C88" s="141"/>
      <c r="D88" s="141"/>
      <c r="E88" s="141"/>
      <c r="F88" s="141"/>
      <c r="G88" s="141"/>
      <c r="H88" s="141"/>
      <c r="I88" s="141"/>
      <c r="J88" s="141"/>
      <c r="K88" s="141"/>
      <c r="L88" s="141"/>
      <c r="M88" s="141"/>
      <c r="N88" s="141"/>
      <c r="O88" s="141"/>
      <c r="P88" s="141"/>
      <c r="Q88" s="141"/>
      <c r="R88" s="141"/>
      <c r="S88" s="141"/>
      <c r="T88" s="141"/>
      <c r="U88" s="141"/>
      <c r="V88" s="141"/>
      <c r="W88" s="141"/>
      <c r="X88" s="141"/>
      <c r="Y88" s="141"/>
      <c r="Z88" s="141"/>
      <c r="AA88" s="141"/>
      <c r="AB88" s="141"/>
      <c r="AC88" s="141"/>
      <c r="AD88" s="141"/>
      <c r="AE88" s="141"/>
      <c r="AF88" s="141"/>
      <c r="AG88" s="141"/>
      <c r="AH88" s="141"/>
      <c r="AI88" s="141"/>
      <c r="AJ88" s="141"/>
    </row>
    <row r="89" spans="1:36" ht="26.25" customHeight="1" x14ac:dyDescent="0.3">
      <c r="A89" s="154" t="s">
        <v>57</v>
      </c>
      <c r="B89" s="154"/>
      <c r="C89" s="154"/>
      <c r="D89" s="154"/>
      <c r="E89" s="154"/>
      <c r="F89" s="154"/>
      <c r="G89" s="154"/>
      <c r="H89" s="154"/>
      <c r="I89" s="154"/>
      <c r="J89" s="154"/>
      <c r="K89" s="154"/>
      <c r="L89" s="154"/>
      <c r="M89" s="154"/>
      <c r="N89" s="154"/>
      <c r="O89" s="154"/>
      <c r="P89" s="154"/>
      <c r="Q89" s="154"/>
      <c r="R89" s="154"/>
      <c r="S89" s="154"/>
      <c r="T89" s="154"/>
      <c r="U89" s="154"/>
      <c r="V89" s="154"/>
      <c r="W89" s="154"/>
      <c r="X89" s="154"/>
      <c r="Y89" s="154"/>
      <c r="Z89" s="154"/>
      <c r="AA89" s="154"/>
      <c r="AB89" s="154"/>
      <c r="AC89" s="154"/>
      <c r="AD89" s="154"/>
      <c r="AE89" s="154"/>
      <c r="AF89" s="154"/>
      <c r="AG89" s="154"/>
      <c r="AH89" s="154"/>
      <c r="AI89" s="154"/>
      <c r="AJ89" s="154"/>
    </row>
    <row r="90" spans="1:36" ht="15.75" customHeight="1" x14ac:dyDescent="0.3">
      <c r="A90" s="141"/>
      <c r="B90" s="141"/>
      <c r="C90" s="141"/>
      <c r="D90" s="141"/>
      <c r="E90" s="141"/>
      <c r="F90" s="141"/>
      <c r="G90" s="141"/>
      <c r="H90" s="141"/>
      <c r="I90" s="141"/>
      <c r="J90" s="141"/>
      <c r="K90" s="141"/>
      <c r="L90" s="141"/>
      <c r="M90" s="141"/>
      <c r="N90" s="141"/>
      <c r="O90" s="141"/>
      <c r="P90" s="141"/>
      <c r="Q90" s="141"/>
      <c r="R90" s="141"/>
      <c r="S90" s="141"/>
      <c r="T90" s="141"/>
      <c r="U90" s="141"/>
      <c r="V90" s="141"/>
      <c r="W90" s="141"/>
      <c r="X90" s="141"/>
      <c r="Y90" s="141"/>
      <c r="Z90" s="141"/>
      <c r="AA90" s="141"/>
      <c r="AB90" s="141"/>
      <c r="AC90" s="141"/>
      <c r="AD90" s="141"/>
      <c r="AE90" s="141"/>
      <c r="AF90" s="141"/>
      <c r="AG90" s="141"/>
      <c r="AH90" s="141"/>
      <c r="AI90" s="141"/>
      <c r="AJ90" s="141"/>
    </row>
    <row r="91" spans="1:36" ht="50.25" customHeight="1" x14ac:dyDescent="0.3">
      <c r="A91" s="155" t="s">
        <v>79</v>
      </c>
      <c r="B91" s="155"/>
      <c r="C91" s="155"/>
      <c r="D91" s="155"/>
      <c r="E91" s="155"/>
      <c r="F91" s="155"/>
      <c r="G91" s="155"/>
      <c r="H91" s="155"/>
      <c r="I91" s="155"/>
      <c r="J91" s="155"/>
      <c r="K91" s="155"/>
      <c r="L91" s="155"/>
      <c r="M91" s="155"/>
      <c r="N91" s="155"/>
      <c r="O91" s="155"/>
      <c r="P91" s="155"/>
      <c r="Q91" s="155"/>
      <c r="R91" s="155"/>
      <c r="S91" s="155"/>
      <c r="T91" s="155"/>
      <c r="U91" s="155"/>
      <c r="V91" s="155"/>
      <c r="W91" s="155"/>
      <c r="X91" s="155"/>
      <c r="Y91" s="155"/>
      <c r="Z91" s="155"/>
      <c r="AA91" s="155"/>
      <c r="AB91" s="155"/>
      <c r="AC91" s="155"/>
      <c r="AD91" s="155"/>
      <c r="AE91" s="155"/>
      <c r="AF91" s="155"/>
      <c r="AG91" s="155"/>
      <c r="AH91" s="155"/>
      <c r="AI91" s="155"/>
      <c r="AJ91" s="155"/>
    </row>
    <row r="92" spans="1:36" ht="18" customHeight="1" x14ac:dyDescent="0.3">
      <c r="A92" s="34"/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/>
      <c r="AB92" s="34"/>
      <c r="AC92" s="34"/>
      <c r="AD92" s="34"/>
      <c r="AE92" s="34"/>
      <c r="AF92" s="34"/>
      <c r="AG92" s="34"/>
      <c r="AH92" s="34"/>
      <c r="AI92" s="34"/>
      <c r="AJ92" s="34"/>
    </row>
    <row r="93" spans="1:36" s="16" customFormat="1" ht="35.25" customHeight="1" x14ac:dyDescent="0.25">
      <c r="A93" s="156" t="s">
        <v>87</v>
      </c>
      <c r="B93" s="156"/>
      <c r="C93" s="156"/>
      <c r="D93" s="156"/>
      <c r="E93" s="156"/>
      <c r="F93" s="156"/>
      <c r="G93" s="156"/>
      <c r="H93" s="156"/>
      <c r="I93" s="156"/>
      <c r="J93" s="156"/>
      <c r="K93" s="156"/>
      <c r="L93" s="156"/>
      <c r="M93" s="156"/>
      <c r="N93" s="156"/>
      <c r="O93" s="156"/>
      <c r="P93" s="156"/>
      <c r="Q93" s="156"/>
      <c r="R93" s="156"/>
      <c r="S93" s="156"/>
      <c r="T93" s="156"/>
      <c r="U93" s="156"/>
      <c r="V93" s="156"/>
      <c r="W93" s="156"/>
      <c r="X93" s="156"/>
      <c r="Y93" s="156"/>
      <c r="Z93" s="156"/>
      <c r="AA93" s="156"/>
      <c r="AB93" s="156"/>
      <c r="AC93" s="156"/>
      <c r="AD93" s="156"/>
      <c r="AE93" s="156"/>
      <c r="AF93" s="156"/>
      <c r="AG93" s="156"/>
      <c r="AH93" s="156"/>
      <c r="AI93" s="156"/>
      <c r="AJ93" s="156"/>
    </row>
    <row r="94" spans="1:36" s="16" customFormat="1" ht="121.5" customHeight="1" x14ac:dyDescent="0.25">
      <c r="A94" s="110" t="s">
        <v>81</v>
      </c>
      <c r="B94" s="110"/>
      <c r="C94" s="110" t="s">
        <v>62</v>
      </c>
      <c r="D94" s="110"/>
      <c r="E94" s="110"/>
      <c r="F94" s="110"/>
      <c r="G94" s="110"/>
      <c r="H94" s="110"/>
      <c r="I94" s="110"/>
      <c r="J94" s="110" t="s">
        <v>63</v>
      </c>
      <c r="K94" s="110"/>
      <c r="L94" s="110"/>
      <c r="M94" s="110"/>
      <c r="N94" s="110"/>
      <c r="O94" s="110" t="s">
        <v>72</v>
      </c>
      <c r="P94" s="110"/>
      <c r="Q94" s="110"/>
      <c r="R94" s="110"/>
      <c r="S94" s="110"/>
      <c r="T94" s="110" t="s">
        <v>65</v>
      </c>
      <c r="U94" s="110"/>
      <c r="V94" s="110"/>
      <c r="W94" s="110"/>
      <c r="X94" s="110"/>
      <c r="Y94" s="110"/>
      <c r="Z94" s="110"/>
      <c r="AA94" s="110"/>
      <c r="AB94" s="110"/>
      <c r="AC94" s="110"/>
      <c r="AD94" s="110"/>
      <c r="AE94" s="110"/>
      <c r="AF94" s="110"/>
      <c r="AG94" s="110" t="s">
        <v>66</v>
      </c>
      <c r="AH94" s="110"/>
      <c r="AI94" s="110"/>
      <c r="AJ94" s="110"/>
    </row>
    <row r="95" spans="1:36" s="16" customFormat="1" ht="14.25" customHeight="1" x14ac:dyDescent="0.25">
      <c r="A95" s="110" t="s">
        <v>3</v>
      </c>
      <c r="B95" s="110"/>
      <c r="C95" s="110" t="s">
        <v>4</v>
      </c>
      <c r="D95" s="110"/>
      <c r="E95" s="110"/>
      <c r="F95" s="110"/>
      <c r="G95" s="110"/>
      <c r="H95" s="110"/>
      <c r="I95" s="110"/>
      <c r="J95" s="110" t="s">
        <v>5</v>
      </c>
      <c r="K95" s="110"/>
      <c r="L95" s="110"/>
      <c r="M95" s="110"/>
      <c r="N95" s="110"/>
      <c r="O95" s="110" t="s">
        <v>6</v>
      </c>
      <c r="P95" s="110"/>
      <c r="Q95" s="110"/>
      <c r="R95" s="110"/>
      <c r="S95" s="110"/>
      <c r="T95" s="110" t="s">
        <v>21</v>
      </c>
      <c r="U95" s="110"/>
      <c r="V95" s="110"/>
      <c r="W95" s="110"/>
      <c r="X95" s="110"/>
      <c r="Y95" s="110"/>
      <c r="Z95" s="110"/>
      <c r="AA95" s="110"/>
      <c r="AB95" s="110"/>
      <c r="AC95" s="110"/>
      <c r="AD95" s="110"/>
      <c r="AE95" s="110"/>
      <c r="AF95" s="110"/>
      <c r="AG95" s="110" t="s">
        <v>67</v>
      </c>
      <c r="AH95" s="110"/>
      <c r="AI95" s="110"/>
      <c r="AJ95" s="110"/>
    </row>
    <row r="96" spans="1:36" s="16" customFormat="1" ht="26.25" customHeight="1" x14ac:dyDescent="0.25">
      <c r="A96" s="110"/>
      <c r="B96" s="110"/>
      <c r="C96" s="110"/>
      <c r="D96" s="110"/>
      <c r="E96" s="110"/>
      <c r="F96" s="110"/>
      <c r="G96" s="110"/>
      <c r="H96" s="110"/>
      <c r="I96" s="110"/>
      <c r="J96" s="110"/>
      <c r="K96" s="110"/>
      <c r="L96" s="110"/>
      <c r="M96" s="110"/>
      <c r="N96" s="110"/>
      <c r="O96" s="110"/>
      <c r="P96" s="110"/>
      <c r="Q96" s="110"/>
      <c r="R96" s="110"/>
      <c r="S96" s="110"/>
      <c r="T96" s="110"/>
      <c r="U96" s="110"/>
      <c r="V96" s="110"/>
      <c r="W96" s="110"/>
      <c r="X96" s="110"/>
      <c r="Y96" s="110"/>
      <c r="Z96" s="110"/>
      <c r="AA96" s="110"/>
      <c r="AB96" s="110"/>
      <c r="AC96" s="110"/>
      <c r="AD96" s="110"/>
      <c r="AE96" s="110"/>
      <c r="AF96" s="110"/>
      <c r="AG96" s="110"/>
      <c r="AH96" s="110"/>
      <c r="AI96" s="110"/>
      <c r="AJ96" s="110"/>
    </row>
    <row r="97" spans="1:36" s="16" customFormat="1" ht="26.25" customHeight="1" x14ac:dyDescent="0.25">
      <c r="A97" s="110"/>
      <c r="B97" s="110"/>
      <c r="C97" s="110"/>
      <c r="D97" s="110"/>
      <c r="E97" s="110"/>
      <c r="F97" s="110"/>
      <c r="G97" s="110"/>
      <c r="H97" s="110"/>
      <c r="I97" s="110"/>
      <c r="J97" s="110"/>
      <c r="K97" s="110"/>
      <c r="L97" s="110"/>
      <c r="M97" s="110"/>
      <c r="N97" s="110"/>
      <c r="O97" s="110"/>
      <c r="P97" s="110"/>
      <c r="Q97" s="110"/>
      <c r="R97" s="110"/>
      <c r="S97" s="110"/>
      <c r="T97" s="110"/>
      <c r="U97" s="110"/>
      <c r="V97" s="110"/>
      <c r="W97" s="110"/>
      <c r="X97" s="110"/>
      <c r="Y97" s="110"/>
      <c r="Z97" s="110"/>
      <c r="AA97" s="110"/>
      <c r="AB97" s="110"/>
      <c r="AC97" s="110"/>
      <c r="AD97" s="110"/>
      <c r="AE97" s="110"/>
      <c r="AF97" s="110"/>
      <c r="AG97" s="110"/>
      <c r="AH97" s="110"/>
      <c r="AI97" s="110"/>
      <c r="AJ97" s="110"/>
    </row>
    <row r="98" spans="1:36" s="16" customFormat="1" ht="26.25" customHeight="1" x14ac:dyDescent="0.25">
      <c r="A98" s="110"/>
      <c r="B98" s="110"/>
      <c r="C98" s="110"/>
      <c r="D98" s="110"/>
      <c r="E98" s="110"/>
      <c r="F98" s="110"/>
      <c r="G98" s="110"/>
      <c r="H98" s="110"/>
      <c r="I98" s="110"/>
      <c r="J98" s="110"/>
      <c r="K98" s="110"/>
      <c r="L98" s="110"/>
      <c r="M98" s="110"/>
      <c r="N98" s="110"/>
      <c r="O98" s="110"/>
      <c r="P98" s="110"/>
      <c r="Q98" s="110"/>
      <c r="R98" s="110"/>
      <c r="S98" s="110"/>
      <c r="T98" s="110"/>
      <c r="U98" s="110"/>
      <c r="V98" s="110"/>
      <c r="W98" s="110"/>
      <c r="X98" s="110"/>
      <c r="Y98" s="110"/>
      <c r="Z98" s="110"/>
      <c r="AA98" s="110"/>
      <c r="AB98" s="110"/>
      <c r="AC98" s="110"/>
      <c r="AD98" s="110"/>
      <c r="AE98" s="110"/>
      <c r="AF98" s="110"/>
      <c r="AG98" s="110"/>
      <c r="AH98" s="110"/>
      <c r="AI98" s="110"/>
      <c r="AJ98" s="110"/>
    </row>
    <row r="99" spans="1:36" s="16" customFormat="1" ht="26.25" customHeight="1" x14ac:dyDescent="0.25">
      <c r="A99" s="110"/>
      <c r="B99" s="110"/>
      <c r="C99" s="110"/>
      <c r="D99" s="110"/>
      <c r="E99" s="110"/>
      <c r="F99" s="110"/>
      <c r="G99" s="110"/>
      <c r="H99" s="110"/>
      <c r="I99" s="110"/>
      <c r="J99" s="110"/>
      <c r="K99" s="110"/>
      <c r="L99" s="110"/>
      <c r="M99" s="110"/>
      <c r="N99" s="110"/>
      <c r="O99" s="110"/>
      <c r="P99" s="110"/>
      <c r="Q99" s="110"/>
      <c r="R99" s="110"/>
      <c r="S99" s="110"/>
      <c r="T99" s="110"/>
      <c r="U99" s="110"/>
      <c r="V99" s="110"/>
      <c r="W99" s="110"/>
      <c r="X99" s="110"/>
      <c r="Y99" s="110"/>
      <c r="Z99" s="110"/>
      <c r="AA99" s="110"/>
      <c r="AB99" s="110"/>
      <c r="AC99" s="110"/>
      <c r="AD99" s="110"/>
      <c r="AE99" s="110"/>
      <c r="AF99" s="110"/>
      <c r="AG99" s="110"/>
      <c r="AH99" s="110"/>
      <c r="AI99" s="110"/>
      <c r="AJ99" s="110"/>
    </row>
    <row r="100" spans="1:36" ht="15.75" customHeight="1" x14ac:dyDescent="0.3">
      <c r="A100" s="35"/>
      <c r="B100" s="35"/>
      <c r="C100" s="35"/>
      <c r="D100" s="35"/>
      <c r="E100" s="35"/>
      <c r="F100" s="35"/>
      <c r="G100" s="35"/>
      <c r="H100" s="35"/>
      <c r="I100" s="35"/>
      <c r="J100" s="35"/>
    </row>
    <row r="101" spans="1:36" ht="30.75" customHeight="1" x14ac:dyDescent="0.3">
      <c r="A101" s="139" t="s">
        <v>88</v>
      </c>
      <c r="B101" s="139"/>
      <c r="C101" s="139"/>
      <c r="D101" s="139"/>
      <c r="E101" s="139"/>
      <c r="F101" s="139"/>
      <c r="G101" s="139"/>
      <c r="H101" s="139"/>
      <c r="I101" s="139"/>
      <c r="J101" s="139"/>
      <c r="K101" s="139"/>
      <c r="L101" s="139"/>
      <c r="M101" s="139"/>
      <c r="N101" s="139"/>
      <c r="O101" s="139"/>
      <c r="P101" s="139"/>
      <c r="Q101" s="139"/>
      <c r="R101" s="139"/>
      <c r="S101" s="139"/>
      <c r="T101" s="139"/>
      <c r="U101" s="139"/>
      <c r="V101" s="139"/>
      <c r="W101" s="139"/>
      <c r="X101" s="139"/>
      <c r="Y101" s="139"/>
      <c r="Z101" s="139"/>
      <c r="AA101" s="139"/>
      <c r="AB101" s="139"/>
      <c r="AC101" s="139"/>
      <c r="AD101" s="139"/>
      <c r="AE101" s="139"/>
      <c r="AF101" s="139"/>
      <c r="AG101" s="139"/>
      <c r="AH101" s="139"/>
      <c r="AI101" s="139"/>
      <c r="AJ101" s="139"/>
    </row>
    <row r="102" spans="1:36" ht="60" customHeight="1" x14ac:dyDescent="0.3">
      <c r="A102" s="115" t="s">
        <v>81</v>
      </c>
      <c r="B102" s="107"/>
      <c r="C102" s="115" t="s">
        <v>62</v>
      </c>
      <c r="D102" s="107"/>
      <c r="E102" s="107"/>
      <c r="F102" s="107"/>
      <c r="G102" s="107"/>
      <c r="H102" s="107"/>
      <c r="I102" s="107"/>
      <c r="J102" s="107"/>
      <c r="K102" s="107"/>
      <c r="L102" s="107"/>
      <c r="M102" s="107"/>
      <c r="N102" s="107"/>
      <c r="O102" s="122" t="s">
        <v>63</v>
      </c>
      <c r="P102" s="126"/>
      <c r="Q102" s="126"/>
      <c r="R102" s="126"/>
      <c r="S102" s="126"/>
      <c r="T102" s="126"/>
      <c r="U102" s="127"/>
      <c r="V102" s="122" t="s">
        <v>64</v>
      </c>
      <c r="W102" s="123"/>
      <c r="X102" s="123"/>
      <c r="Y102" s="123"/>
      <c r="Z102" s="123"/>
      <c r="AA102" s="123"/>
      <c r="AB102" s="123"/>
      <c r="AC102" s="123"/>
      <c r="AD102" s="124"/>
      <c r="AE102" s="125" t="s">
        <v>66</v>
      </c>
      <c r="AF102" s="126"/>
      <c r="AG102" s="126"/>
      <c r="AH102" s="126"/>
      <c r="AI102" s="126"/>
      <c r="AJ102" s="127"/>
    </row>
    <row r="103" spans="1:36" ht="15.75" customHeight="1" x14ac:dyDescent="0.3">
      <c r="A103" s="107" t="s">
        <v>3</v>
      </c>
      <c r="B103" s="107"/>
      <c r="C103" s="107" t="s">
        <v>4</v>
      </c>
      <c r="D103" s="107"/>
      <c r="E103" s="107"/>
      <c r="F103" s="107"/>
      <c r="G103" s="107"/>
      <c r="H103" s="107"/>
      <c r="I103" s="107"/>
      <c r="J103" s="107"/>
      <c r="K103" s="107"/>
      <c r="L103" s="107"/>
      <c r="M103" s="107"/>
      <c r="N103" s="107"/>
      <c r="O103" s="109">
        <v>3</v>
      </c>
      <c r="P103" s="109"/>
      <c r="Q103" s="109"/>
      <c r="R103" s="109"/>
      <c r="S103" s="109"/>
      <c r="T103" s="109"/>
      <c r="U103" s="109"/>
      <c r="V103" s="109">
        <v>4</v>
      </c>
      <c r="W103" s="109"/>
      <c r="X103" s="109"/>
      <c r="Y103" s="109"/>
      <c r="Z103" s="109"/>
      <c r="AA103" s="109"/>
      <c r="AB103" s="109"/>
      <c r="AC103" s="109"/>
      <c r="AD103" s="109"/>
      <c r="AE103" s="109">
        <v>5</v>
      </c>
      <c r="AF103" s="109"/>
      <c r="AG103" s="109"/>
      <c r="AH103" s="109"/>
      <c r="AI103" s="109"/>
      <c r="AJ103" s="109"/>
    </row>
    <row r="104" spans="1:36" ht="30" customHeight="1" x14ac:dyDescent="0.3">
      <c r="A104" s="145"/>
      <c r="B104" s="145"/>
      <c r="C104" s="145"/>
      <c r="D104" s="145"/>
      <c r="E104" s="145"/>
      <c r="F104" s="145"/>
      <c r="G104" s="145"/>
      <c r="H104" s="145"/>
      <c r="I104" s="145"/>
      <c r="J104" s="145"/>
      <c r="K104" s="145"/>
      <c r="L104" s="145"/>
      <c r="M104" s="145"/>
      <c r="N104" s="145"/>
      <c r="O104" s="146"/>
      <c r="P104" s="146"/>
      <c r="Q104" s="146"/>
      <c r="R104" s="146"/>
      <c r="S104" s="146"/>
      <c r="T104" s="146"/>
      <c r="U104" s="146"/>
      <c r="V104" s="146"/>
      <c r="W104" s="146"/>
      <c r="X104" s="146"/>
      <c r="Y104" s="146"/>
      <c r="Z104" s="146"/>
      <c r="AA104" s="146"/>
      <c r="AB104" s="146"/>
      <c r="AC104" s="146"/>
      <c r="AD104" s="146"/>
      <c r="AE104" s="146"/>
      <c r="AF104" s="146"/>
      <c r="AG104" s="146"/>
      <c r="AH104" s="146"/>
      <c r="AI104" s="146"/>
      <c r="AJ104" s="146"/>
    </row>
    <row r="105" spans="1:36" ht="30" customHeight="1" x14ac:dyDescent="0.3">
      <c r="A105" s="145"/>
      <c r="B105" s="145"/>
      <c r="C105" s="145"/>
      <c r="D105" s="145"/>
      <c r="E105" s="145"/>
      <c r="F105" s="145"/>
      <c r="G105" s="145"/>
      <c r="H105" s="145"/>
      <c r="I105" s="145"/>
      <c r="J105" s="145"/>
      <c r="K105" s="145"/>
      <c r="L105" s="145"/>
      <c r="M105" s="145"/>
      <c r="N105" s="145"/>
      <c r="O105" s="146"/>
      <c r="P105" s="146"/>
      <c r="Q105" s="146"/>
      <c r="R105" s="146"/>
      <c r="S105" s="146"/>
      <c r="T105" s="146"/>
      <c r="U105" s="146"/>
      <c r="V105" s="146"/>
      <c r="W105" s="146"/>
      <c r="X105" s="146"/>
      <c r="Y105" s="146"/>
      <c r="Z105" s="146"/>
      <c r="AA105" s="146"/>
      <c r="AB105" s="146"/>
      <c r="AC105" s="146"/>
      <c r="AD105" s="146"/>
      <c r="AE105" s="146"/>
      <c r="AF105" s="146"/>
      <c r="AG105" s="146"/>
      <c r="AH105" s="146"/>
      <c r="AI105" s="146"/>
      <c r="AJ105" s="146"/>
    </row>
    <row r="106" spans="1:36" ht="30" customHeight="1" x14ac:dyDescent="0.3">
      <c r="A106" s="145"/>
      <c r="B106" s="145"/>
      <c r="C106" s="145"/>
      <c r="D106" s="145"/>
      <c r="E106" s="145"/>
      <c r="F106" s="145"/>
      <c r="G106" s="145"/>
      <c r="H106" s="145"/>
      <c r="I106" s="145"/>
      <c r="J106" s="145"/>
      <c r="K106" s="145"/>
      <c r="L106" s="145"/>
      <c r="M106" s="145"/>
      <c r="N106" s="145"/>
      <c r="O106" s="146"/>
      <c r="P106" s="146"/>
      <c r="Q106" s="146"/>
      <c r="R106" s="146"/>
      <c r="S106" s="146"/>
      <c r="T106" s="146"/>
      <c r="U106" s="146"/>
      <c r="V106" s="146"/>
      <c r="W106" s="146"/>
      <c r="X106" s="146"/>
      <c r="Y106" s="146"/>
      <c r="Z106" s="146"/>
      <c r="AA106" s="146"/>
      <c r="AB106" s="146"/>
      <c r="AC106" s="146"/>
      <c r="AD106" s="146"/>
      <c r="AE106" s="146"/>
      <c r="AF106" s="146"/>
      <c r="AG106" s="146"/>
      <c r="AH106" s="146"/>
      <c r="AI106" s="146"/>
      <c r="AJ106" s="146"/>
    </row>
    <row r="107" spans="1:36" ht="30" customHeight="1" x14ac:dyDescent="0.3">
      <c r="A107" s="145"/>
      <c r="B107" s="145"/>
      <c r="C107" s="145"/>
      <c r="D107" s="145"/>
      <c r="E107" s="145"/>
      <c r="F107" s="145"/>
      <c r="G107" s="145"/>
      <c r="H107" s="145"/>
      <c r="I107" s="145"/>
      <c r="J107" s="145"/>
      <c r="K107" s="145"/>
      <c r="L107" s="145"/>
      <c r="M107" s="145"/>
      <c r="N107" s="145"/>
      <c r="O107" s="146"/>
      <c r="P107" s="146"/>
      <c r="Q107" s="146"/>
      <c r="R107" s="146"/>
      <c r="S107" s="146"/>
      <c r="T107" s="146"/>
      <c r="U107" s="146"/>
      <c r="V107" s="146"/>
      <c r="W107" s="146"/>
      <c r="X107" s="146"/>
      <c r="Y107" s="146"/>
      <c r="Z107" s="146"/>
      <c r="AA107" s="146"/>
      <c r="AB107" s="146"/>
      <c r="AC107" s="146"/>
      <c r="AD107" s="146"/>
      <c r="AE107" s="146"/>
      <c r="AF107" s="146"/>
      <c r="AG107" s="146"/>
      <c r="AH107" s="146"/>
      <c r="AI107" s="146"/>
      <c r="AJ107" s="146"/>
    </row>
    <row r="108" spans="1:36" x14ac:dyDescent="0.3">
      <c r="A108" s="36"/>
      <c r="B108" s="36"/>
      <c r="C108" s="36"/>
      <c r="D108" s="36"/>
      <c r="E108" s="36"/>
      <c r="F108" s="36"/>
      <c r="G108" s="36"/>
      <c r="H108" s="36"/>
      <c r="I108" s="36"/>
      <c r="J108" s="36"/>
    </row>
    <row r="109" spans="1:36" ht="32.25" customHeight="1" x14ac:dyDescent="0.3">
      <c r="A109" s="153" t="s">
        <v>89</v>
      </c>
      <c r="B109" s="153"/>
      <c r="C109" s="153"/>
      <c r="D109" s="153"/>
      <c r="E109" s="153"/>
      <c r="F109" s="153"/>
      <c r="G109" s="153"/>
      <c r="H109" s="153"/>
      <c r="I109" s="153"/>
      <c r="J109" s="153"/>
      <c r="K109" s="153"/>
      <c r="L109" s="153"/>
      <c r="M109" s="153"/>
      <c r="N109" s="153"/>
      <c r="O109" s="153"/>
      <c r="P109" s="153"/>
      <c r="Q109" s="153"/>
      <c r="R109" s="153"/>
      <c r="S109" s="153"/>
      <c r="T109" s="153"/>
      <c r="U109" s="153"/>
      <c r="V109" s="153"/>
      <c r="W109" s="153"/>
      <c r="X109" s="153"/>
      <c r="Y109" s="153"/>
      <c r="Z109" s="153"/>
      <c r="AA109" s="153"/>
      <c r="AB109" s="153"/>
      <c r="AC109" s="153"/>
      <c r="AD109" s="153"/>
      <c r="AE109" s="153"/>
      <c r="AF109" s="153"/>
      <c r="AG109" s="153"/>
      <c r="AH109" s="153"/>
      <c r="AI109" s="153"/>
      <c r="AJ109" s="153"/>
    </row>
    <row r="110" spans="1:36" ht="60" customHeight="1" x14ac:dyDescent="0.3">
      <c r="A110" s="115" t="s">
        <v>81</v>
      </c>
      <c r="B110" s="107"/>
      <c r="C110" s="115" t="s">
        <v>62</v>
      </c>
      <c r="D110" s="107"/>
      <c r="E110" s="107"/>
      <c r="F110" s="107"/>
      <c r="G110" s="107"/>
      <c r="H110" s="107"/>
      <c r="I110" s="107"/>
      <c r="J110" s="107"/>
      <c r="K110" s="107"/>
      <c r="L110" s="107"/>
      <c r="M110" s="107"/>
      <c r="N110" s="107"/>
      <c r="O110" s="122" t="s">
        <v>63</v>
      </c>
      <c r="P110" s="126"/>
      <c r="Q110" s="126"/>
      <c r="R110" s="126"/>
      <c r="S110" s="126"/>
      <c r="T110" s="126"/>
      <c r="U110" s="127"/>
      <c r="V110" s="122" t="s">
        <v>64</v>
      </c>
      <c r="W110" s="123"/>
      <c r="X110" s="123"/>
      <c r="Y110" s="123"/>
      <c r="Z110" s="123"/>
      <c r="AA110" s="123"/>
      <c r="AB110" s="123"/>
      <c r="AC110" s="123"/>
      <c r="AD110" s="124"/>
      <c r="AE110" s="125" t="s">
        <v>66</v>
      </c>
      <c r="AF110" s="126"/>
      <c r="AG110" s="126"/>
      <c r="AH110" s="126"/>
      <c r="AI110" s="126"/>
      <c r="AJ110" s="127"/>
    </row>
    <row r="111" spans="1:36" ht="14.25" customHeight="1" x14ac:dyDescent="0.3">
      <c r="A111" s="107" t="s">
        <v>3</v>
      </c>
      <c r="B111" s="107"/>
      <c r="C111" s="107" t="s">
        <v>4</v>
      </c>
      <c r="D111" s="107"/>
      <c r="E111" s="107"/>
      <c r="F111" s="107"/>
      <c r="G111" s="107"/>
      <c r="H111" s="107"/>
      <c r="I111" s="107"/>
      <c r="J111" s="107"/>
      <c r="K111" s="107"/>
      <c r="L111" s="107"/>
      <c r="M111" s="107"/>
      <c r="N111" s="107"/>
      <c r="O111" s="109">
        <v>3</v>
      </c>
      <c r="P111" s="109"/>
      <c r="Q111" s="109"/>
      <c r="R111" s="109"/>
      <c r="S111" s="109"/>
      <c r="T111" s="109"/>
      <c r="U111" s="109"/>
      <c r="V111" s="109">
        <v>4</v>
      </c>
      <c r="W111" s="109"/>
      <c r="X111" s="109"/>
      <c r="Y111" s="109"/>
      <c r="Z111" s="109"/>
      <c r="AA111" s="109"/>
      <c r="AB111" s="109"/>
      <c r="AC111" s="109"/>
      <c r="AD111" s="109"/>
      <c r="AE111" s="109">
        <v>5</v>
      </c>
      <c r="AF111" s="109"/>
      <c r="AG111" s="109"/>
      <c r="AH111" s="109"/>
      <c r="AI111" s="109"/>
      <c r="AJ111" s="109"/>
    </row>
    <row r="112" spans="1:36" ht="35.25" customHeight="1" x14ac:dyDescent="0.3">
      <c r="A112" s="145"/>
      <c r="B112" s="145"/>
      <c r="C112" s="145"/>
      <c r="D112" s="145"/>
      <c r="E112" s="145"/>
      <c r="F112" s="145"/>
      <c r="G112" s="145"/>
      <c r="H112" s="145"/>
      <c r="I112" s="145"/>
      <c r="J112" s="145"/>
      <c r="K112" s="145"/>
      <c r="L112" s="145"/>
      <c r="M112" s="145"/>
      <c r="N112" s="145"/>
      <c r="O112" s="146"/>
      <c r="P112" s="146"/>
      <c r="Q112" s="146"/>
      <c r="R112" s="146"/>
      <c r="S112" s="146"/>
      <c r="T112" s="146"/>
      <c r="U112" s="146"/>
      <c r="V112" s="146"/>
      <c r="W112" s="146"/>
      <c r="X112" s="146"/>
      <c r="Y112" s="146"/>
      <c r="Z112" s="146"/>
      <c r="AA112" s="146"/>
      <c r="AB112" s="146"/>
      <c r="AC112" s="146"/>
      <c r="AD112" s="146"/>
      <c r="AE112" s="146"/>
      <c r="AF112" s="146"/>
      <c r="AG112" s="146"/>
      <c r="AH112" s="146"/>
      <c r="AI112" s="146"/>
      <c r="AJ112" s="146"/>
    </row>
    <row r="113" spans="1:36" ht="35.25" customHeight="1" x14ac:dyDescent="0.3">
      <c r="A113" s="145"/>
      <c r="B113" s="145"/>
      <c r="C113" s="145"/>
      <c r="D113" s="145"/>
      <c r="E113" s="145"/>
      <c r="F113" s="145"/>
      <c r="G113" s="145"/>
      <c r="H113" s="145"/>
      <c r="I113" s="145"/>
      <c r="J113" s="145"/>
      <c r="K113" s="145"/>
      <c r="L113" s="145"/>
      <c r="M113" s="145"/>
      <c r="N113" s="145"/>
      <c r="O113" s="146"/>
      <c r="P113" s="146"/>
      <c r="Q113" s="146"/>
      <c r="R113" s="146"/>
      <c r="S113" s="146"/>
      <c r="T113" s="146"/>
      <c r="U113" s="146"/>
      <c r="V113" s="146"/>
      <c r="W113" s="146"/>
      <c r="X113" s="146"/>
      <c r="Y113" s="146"/>
      <c r="Z113" s="146"/>
      <c r="AA113" s="146"/>
      <c r="AB113" s="146"/>
      <c r="AC113" s="146"/>
      <c r="AD113" s="146"/>
      <c r="AE113" s="146"/>
      <c r="AF113" s="146"/>
      <c r="AG113" s="146"/>
      <c r="AH113" s="146"/>
      <c r="AI113" s="146"/>
      <c r="AJ113" s="146"/>
    </row>
    <row r="114" spans="1:36" ht="35.25" customHeight="1" x14ac:dyDescent="0.3">
      <c r="A114" s="145"/>
      <c r="B114" s="145"/>
      <c r="C114" s="145"/>
      <c r="D114" s="145"/>
      <c r="E114" s="145"/>
      <c r="F114" s="145"/>
      <c r="G114" s="145"/>
      <c r="H114" s="145"/>
      <c r="I114" s="145"/>
      <c r="J114" s="145"/>
      <c r="K114" s="145"/>
      <c r="L114" s="145"/>
      <c r="M114" s="145"/>
      <c r="N114" s="145"/>
      <c r="O114" s="146"/>
      <c r="P114" s="146"/>
      <c r="Q114" s="146"/>
      <c r="R114" s="146"/>
      <c r="S114" s="146"/>
      <c r="T114" s="146"/>
      <c r="U114" s="146"/>
      <c r="V114" s="146"/>
      <c r="W114" s="146"/>
      <c r="X114" s="146"/>
      <c r="Y114" s="146"/>
      <c r="Z114" s="146"/>
      <c r="AA114" s="146"/>
      <c r="AB114" s="146"/>
      <c r="AC114" s="146"/>
      <c r="AD114" s="146"/>
      <c r="AE114" s="146"/>
      <c r="AF114" s="146"/>
      <c r="AG114" s="146"/>
      <c r="AH114" s="146"/>
      <c r="AI114" s="146"/>
      <c r="AJ114" s="146"/>
    </row>
    <row r="115" spans="1:36" ht="35.25" customHeight="1" x14ac:dyDescent="0.3">
      <c r="A115" s="145"/>
      <c r="B115" s="145"/>
      <c r="C115" s="145"/>
      <c r="D115" s="145"/>
      <c r="E115" s="145"/>
      <c r="F115" s="145"/>
      <c r="G115" s="145"/>
      <c r="H115" s="145"/>
      <c r="I115" s="145"/>
      <c r="J115" s="145"/>
      <c r="K115" s="145"/>
      <c r="L115" s="145"/>
      <c r="M115" s="145"/>
      <c r="N115" s="145"/>
      <c r="O115" s="146"/>
      <c r="P115" s="146"/>
      <c r="Q115" s="146"/>
      <c r="R115" s="146"/>
      <c r="S115" s="146"/>
      <c r="T115" s="146"/>
      <c r="U115" s="146"/>
      <c r="V115" s="146"/>
      <c r="W115" s="146"/>
      <c r="X115" s="146"/>
      <c r="Y115" s="146"/>
      <c r="Z115" s="146"/>
      <c r="AA115" s="146"/>
      <c r="AB115" s="146"/>
      <c r="AC115" s="146"/>
      <c r="AD115" s="146"/>
      <c r="AE115" s="146"/>
      <c r="AF115" s="146"/>
      <c r="AG115" s="146"/>
      <c r="AH115" s="146"/>
      <c r="AI115" s="146"/>
      <c r="AJ115" s="146"/>
    </row>
    <row r="116" spans="1:36" x14ac:dyDescent="0.3">
      <c r="A116" s="36"/>
      <c r="B116" s="36"/>
      <c r="C116" s="36"/>
      <c r="D116" s="36"/>
      <c r="E116" s="36"/>
      <c r="F116" s="36"/>
      <c r="G116" s="36"/>
      <c r="H116" s="36"/>
      <c r="I116" s="36"/>
      <c r="J116" s="36"/>
    </row>
    <row r="117" spans="1:36" ht="37.5" customHeight="1" x14ac:dyDescent="0.3">
      <c r="A117" s="114" t="s">
        <v>90</v>
      </c>
      <c r="B117" s="114"/>
      <c r="C117" s="114"/>
      <c r="D117" s="114"/>
      <c r="E117" s="114"/>
      <c r="F117" s="114"/>
      <c r="G117" s="114"/>
      <c r="H117" s="114"/>
      <c r="I117" s="114"/>
      <c r="J117" s="114"/>
      <c r="K117" s="114"/>
      <c r="L117" s="114"/>
      <c r="M117" s="114"/>
      <c r="N117" s="114"/>
      <c r="O117" s="114"/>
      <c r="P117" s="114"/>
      <c r="Q117" s="114"/>
      <c r="R117" s="114"/>
      <c r="S117" s="114"/>
      <c r="T117" s="114"/>
      <c r="U117" s="114"/>
      <c r="V117" s="114"/>
      <c r="W117" s="114"/>
      <c r="X117" s="114"/>
      <c r="Y117" s="114"/>
      <c r="Z117" s="114"/>
      <c r="AA117" s="114"/>
      <c r="AB117" s="114"/>
      <c r="AC117" s="114"/>
      <c r="AD117" s="114"/>
      <c r="AE117" s="114"/>
      <c r="AF117" s="114"/>
      <c r="AG117" s="114"/>
      <c r="AH117" s="114"/>
      <c r="AI117" s="114"/>
      <c r="AJ117" s="114"/>
    </row>
    <row r="118" spans="1:36" ht="60" customHeight="1" x14ac:dyDescent="0.3">
      <c r="A118" s="115" t="s">
        <v>81</v>
      </c>
      <c r="B118" s="107"/>
      <c r="C118" s="115" t="s">
        <v>62</v>
      </c>
      <c r="D118" s="107"/>
      <c r="E118" s="107"/>
      <c r="F118" s="107"/>
      <c r="G118" s="107"/>
      <c r="H118" s="107"/>
      <c r="I118" s="107"/>
      <c r="J118" s="107"/>
      <c r="K118" s="107"/>
      <c r="L118" s="107"/>
      <c r="M118" s="107"/>
      <c r="N118" s="107"/>
      <c r="O118" s="122" t="s">
        <v>63</v>
      </c>
      <c r="P118" s="126"/>
      <c r="Q118" s="126"/>
      <c r="R118" s="126"/>
      <c r="S118" s="126"/>
      <c r="T118" s="126"/>
      <c r="U118" s="127"/>
      <c r="V118" s="122" t="s">
        <v>64</v>
      </c>
      <c r="W118" s="123"/>
      <c r="X118" s="123"/>
      <c r="Y118" s="123"/>
      <c r="Z118" s="123"/>
      <c r="AA118" s="123"/>
      <c r="AB118" s="123"/>
      <c r="AC118" s="123"/>
      <c r="AD118" s="124"/>
      <c r="AE118" s="125" t="s">
        <v>66</v>
      </c>
      <c r="AF118" s="126"/>
      <c r="AG118" s="126"/>
      <c r="AH118" s="126"/>
      <c r="AI118" s="126"/>
      <c r="AJ118" s="127"/>
    </row>
    <row r="119" spans="1:36" ht="21" customHeight="1" x14ac:dyDescent="0.3">
      <c r="A119" s="107" t="s">
        <v>3</v>
      </c>
      <c r="B119" s="107"/>
      <c r="C119" s="107" t="s">
        <v>4</v>
      </c>
      <c r="D119" s="107"/>
      <c r="E119" s="107"/>
      <c r="F119" s="107"/>
      <c r="G119" s="107"/>
      <c r="H119" s="107"/>
      <c r="I119" s="107"/>
      <c r="J119" s="107"/>
      <c r="K119" s="107"/>
      <c r="L119" s="107"/>
      <c r="M119" s="107"/>
      <c r="N119" s="107"/>
      <c r="O119" s="109">
        <v>3</v>
      </c>
      <c r="P119" s="109"/>
      <c r="Q119" s="109"/>
      <c r="R119" s="109"/>
      <c r="S119" s="109"/>
      <c r="T119" s="109"/>
      <c r="U119" s="109"/>
      <c r="V119" s="109">
        <v>4</v>
      </c>
      <c r="W119" s="109"/>
      <c r="X119" s="109"/>
      <c r="Y119" s="109"/>
      <c r="Z119" s="109"/>
      <c r="AA119" s="109"/>
      <c r="AB119" s="109"/>
      <c r="AC119" s="109"/>
      <c r="AD119" s="109"/>
      <c r="AE119" s="109">
        <v>5</v>
      </c>
      <c r="AF119" s="109"/>
      <c r="AG119" s="109"/>
      <c r="AH119" s="109"/>
      <c r="AI119" s="109"/>
      <c r="AJ119" s="109"/>
    </row>
    <row r="120" spans="1:36" ht="25.5" customHeight="1" x14ac:dyDescent="0.3">
      <c r="A120" s="145"/>
      <c r="B120" s="145"/>
      <c r="C120" s="145"/>
      <c r="D120" s="145"/>
      <c r="E120" s="145"/>
      <c r="F120" s="145"/>
      <c r="G120" s="145"/>
      <c r="H120" s="145"/>
      <c r="I120" s="145"/>
      <c r="J120" s="145"/>
      <c r="K120" s="145"/>
      <c r="L120" s="145"/>
      <c r="M120" s="145"/>
      <c r="N120" s="145"/>
      <c r="O120" s="146"/>
      <c r="P120" s="146"/>
      <c r="Q120" s="146"/>
      <c r="R120" s="146"/>
      <c r="S120" s="146"/>
      <c r="T120" s="146"/>
      <c r="U120" s="146"/>
      <c r="V120" s="146"/>
      <c r="W120" s="146"/>
      <c r="X120" s="146"/>
      <c r="Y120" s="146"/>
      <c r="Z120" s="146"/>
      <c r="AA120" s="146"/>
      <c r="AB120" s="146"/>
      <c r="AC120" s="146"/>
      <c r="AD120" s="146"/>
      <c r="AE120" s="146"/>
      <c r="AF120" s="146"/>
      <c r="AG120" s="146"/>
      <c r="AH120" s="146"/>
      <c r="AI120" s="146"/>
      <c r="AJ120" s="146"/>
    </row>
    <row r="121" spans="1:36" ht="25.5" customHeight="1" x14ac:dyDescent="0.3">
      <c r="A121" s="145"/>
      <c r="B121" s="145"/>
      <c r="C121" s="145"/>
      <c r="D121" s="145"/>
      <c r="E121" s="145"/>
      <c r="F121" s="145"/>
      <c r="G121" s="145"/>
      <c r="H121" s="145"/>
      <c r="I121" s="145"/>
      <c r="J121" s="145"/>
      <c r="K121" s="145"/>
      <c r="L121" s="145"/>
      <c r="M121" s="145"/>
      <c r="N121" s="145"/>
      <c r="O121" s="146"/>
      <c r="P121" s="146"/>
      <c r="Q121" s="146"/>
      <c r="R121" s="146"/>
      <c r="S121" s="146"/>
      <c r="T121" s="146"/>
      <c r="U121" s="146"/>
      <c r="V121" s="146"/>
      <c r="W121" s="146"/>
      <c r="X121" s="146"/>
      <c r="Y121" s="146"/>
      <c r="Z121" s="146"/>
      <c r="AA121" s="146"/>
      <c r="AB121" s="146"/>
      <c r="AC121" s="146"/>
      <c r="AD121" s="146"/>
      <c r="AE121" s="146"/>
      <c r="AF121" s="146"/>
      <c r="AG121" s="146"/>
      <c r="AH121" s="146"/>
      <c r="AI121" s="146"/>
      <c r="AJ121" s="146"/>
    </row>
    <row r="122" spans="1:36" ht="25.5" customHeight="1" x14ac:dyDescent="0.3">
      <c r="A122" s="145"/>
      <c r="B122" s="145"/>
      <c r="C122" s="145"/>
      <c r="D122" s="145"/>
      <c r="E122" s="145"/>
      <c r="F122" s="145"/>
      <c r="G122" s="145"/>
      <c r="H122" s="145"/>
      <c r="I122" s="145"/>
      <c r="J122" s="145"/>
      <c r="K122" s="145"/>
      <c r="L122" s="145"/>
      <c r="M122" s="145"/>
      <c r="N122" s="145"/>
      <c r="O122" s="146"/>
      <c r="P122" s="146"/>
      <c r="Q122" s="146"/>
      <c r="R122" s="146"/>
      <c r="S122" s="146"/>
      <c r="T122" s="146"/>
      <c r="U122" s="146"/>
      <c r="V122" s="146"/>
      <c r="W122" s="146"/>
      <c r="X122" s="146"/>
      <c r="Y122" s="146"/>
      <c r="Z122" s="146"/>
      <c r="AA122" s="146"/>
      <c r="AB122" s="146"/>
      <c r="AC122" s="146"/>
      <c r="AD122" s="146"/>
      <c r="AE122" s="146"/>
      <c r="AF122" s="146"/>
      <c r="AG122" s="146"/>
      <c r="AH122" s="146"/>
      <c r="AI122" s="146"/>
      <c r="AJ122" s="146"/>
    </row>
    <row r="123" spans="1:36" ht="25.5" customHeight="1" x14ac:dyDescent="0.3">
      <c r="A123" s="145"/>
      <c r="B123" s="145"/>
      <c r="C123" s="145"/>
      <c r="D123" s="145"/>
      <c r="E123" s="145"/>
      <c r="F123" s="145"/>
      <c r="G123" s="145"/>
      <c r="H123" s="145"/>
      <c r="I123" s="145"/>
      <c r="J123" s="145"/>
      <c r="K123" s="145"/>
      <c r="L123" s="145"/>
      <c r="M123" s="145"/>
      <c r="N123" s="145"/>
      <c r="O123" s="146"/>
      <c r="P123" s="146"/>
      <c r="Q123" s="146"/>
      <c r="R123" s="146"/>
      <c r="S123" s="146"/>
      <c r="T123" s="146"/>
      <c r="U123" s="146"/>
      <c r="V123" s="146"/>
      <c r="W123" s="146"/>
      <c r="X123" s="146"/>
      <c r="Y123" s="146"/>
      <c r="Z123" s="146"/>
      <c r="AA123" s="146"/>
      <c r="AB123" s="146"/>
      <c r="AC123" s="146"/>
      <c r="AD123" s="146"/>
      <c r="AE123" s="146"/>
      <c r="AF123" s="146"/>
      <c r="AG123" s="146"/>
      <c r="AH123" s="146"/>
      <c r="AI123" s="146"/>
      <c r="AJ123" s="146"/>
    </row>
    <row r="124" spans="1:36" ht="21" customHeight="1" x14ac:dyDescent="0.3">
      <c r="A124" s="37"/>
      <c r="B124" s="37"/>
      <c r="C124" s="37"/>
      <c r="D124" s="37"/>
      <c r="E124" s="37"/>
      <c r="F124" s="37"/>
      <c r="G124" s="37"/>
      <c r="H124" s="37"/>
      <c r="I124" s="37"/>
      <c r="J124" s="37"/>
      <c r="K124" s="37"/>
      <c r="L124" s="37"/>
      <c r="M124" s="37"/>
      <c r="N124" s="37"/>
      <c r="O124" s="38"/>
      <c r="P124" s="38"/>
      <c r="Q124" s="38"/>
      <c r="R124" s="38"/>
      <c r="S124" s="38"/>
      <c r="T124" s="38"/>
      <c r="U124" s="38"/>
      <c r="V124" s="38"/>
      <c r="W124" s="38"/>
      <c r="X124" s="38"/>
      <c r="Y124" s="38"/>
      <c r="Z124" s="38"/>
      <c r="AA124" s="38"/>
      <c r="AB124" s="38"/>
      <c r="AC124" s="38"/>
      <c r="AD124" s="38"/>
      <c r="AE124" s="38"/>
      <c r="AF124" s="38"/>
      <c r="AG124" s="38"/>
      <c r="AH124" s="38"/>
      <c r="AI124" s="38"/>
      <c r="AJ124" s="38"/>
    </row>
    <row r="125" spans="1:36" ht="37.5" customHeight="1" x14ac:dyDescent="0.3">
      <c r="A125" s="114" t="s">
        <v>91</v>
      </c>
      <c r="B125" s="114"/>
      <c r="C125" s="114"/>
      <c r="D125" s="114"/>
      <c r="E125" s="114"/>
      <c r="F125" s="114"/>
      <c r="G125" s="114"/>
      <c r="H125" s="114"/>
      <c r="I125" s="114"/>
      <c r="J125" s="114"/>
      <c r="K125" s="114"/>
      <c r="L125" s="114"/>
      <c r="M125" s="114"/>
      <c r="N125" s="114"/>
      <c r="O125" s="114"/>
      <c r="P125" s="114"/>
      <c r="Q125" s="114"/>
      <c r="R125" s="114"/>
      <c r="S125" s="114"/>
      <c r="T125" s="114"/>
      <c r="U125" s="114"/>
      <c r="V125" s="114"/>
      <c r="W125" s="114"/>
      <c r="X125" s="114"/>
      <c r="Y125" s="114"/>
      <c r="Z125" s="114"/>
      <c r="AA125" s="114"/>
      <c r="AB125" s="114"/>
      <c r="AC125" s="114"/>
      <c r="AD125" s="114"/>
      <c r="AE125" s="114"/>
      <c r="AF125" s="114"/>
      <c r="AG125" s="114"/>
      <c r="AH125" s="114"/>
      <c r="AI125" s="114"/>
      <c r="AJ125" s="114"/>
    </row>
    <row r="126" spans="1:36" ht="171" customHeight="1" x14ac:dyDescent="0.3">
      <c r="A126" s="110" t="s">
        <v>81</v>
      </c>
      <c r="B126" s="147"/>
      <c r="C126" s="110" t="s">
        <v>92</v>
      </c>
      <c r="D126" s="147"/>
      <c r="E126" s="147"/>
      <c r="F126" s="147"/>
      <c r="G126" s="147"/>
      <c r="H126" s="147"/>
      <c r="I126" s="147"/>
      <c r="J126" s="147"/>
      <c r="K126" s="147"/>
      <c r="L126" s="147"/>
      <c r="M126" s="147"/>
      <c r="N126" s="147"/>
      <c r="O126" s="148" t="s">
        <v>93</v>
      </c>
      <c r="P126" s="149"/>
      <c r="Q126" s="149"/>
      <c r="R126" s="149"/>
      <c r="S126" s="149"/>
      <c r="T126" s="149"/>
      <c r="U126" s="150"/>
      <c r="V126" s="148" t="s">
        <v>94</v>
      </c>
      <c r="W126" s="151"/>
      <c r="X126" s="151"/>
      <c r="Y126" s="151"/>
      <c r="Z126" s="151"/>
      <c r="AA126" s="151"/>
      <c r="AB126" s="151"/>
      <c r="AC126" s="151"/>
      <c r="AD126" s="152"/>
      <c r="AE126" s="148" t="s">
        <v>95</v>
      </c>
      <c r="AF126" s="149"/>
      <c r="AG126" s="149"/>
      <c r="AH126" s="149"/>
      <c r="AI126" s="149"/>
      <c r="AJ126" s="150"/>
    </row>
    <row r="127" spans="1:36" ht="14.25" customHeight="1" x14ac:dyDescent="0.3">
      <c r="A127" s="107" t="s">
        <v>3</v>
      </c>
      <c r="B127" s="107"/>
      <c r="C127" s="107" t="s">
        <v>4</v>
      </c>
      <c r="D127" s="107"/>
      <c r="E127" s="107"/>
      <c r="F127" s="107"/>
      <c r="G127" s="107"/>
      <c r="H127" s="107"/>
      <c r="I127" s="107"/>
      <c r="J127" s="107"/>
      <c r="K127" s="107"/>
      <c r="L127" s="107"/>
      <c r="M127" s="107"/>
      <c r="N127" s="107"/>
      <c r="O127" s="109">
        <v>3</v>
      </c>
      <c r="P127" s="109"/>
      <c r="Q127" s="109"/>
      <c r="R127" s="109"/>
      <c r="S127" s="109"/>
      <c r="T127" s="109"/>
      <c r="U127" s="109"/>
      <c r="V127" s="109">
        <v>4</v>
      </c>
      <c r="W127" s="109"/>
      <c r="X127" s="109"/>
      <c r="Y127" s="109"/>
      <c r="Z127" s="109"/>
      <c r="AA127" s="109"/>
      <c r="AB127" s="109"/>
      <c r="AC127" s="109"/>
      <c r="AD127" s="109"/>
      <c r="AE127" s="109">
        <v>5</v>
      </c>
      <c r="AF127" s="109"/>
      <c r="AG127" s="109"/>
      <c r="AH127" s="109"/>
      <c r="AI127" s="109"/>
      <c r="AJ127" s="109"/>
    </row>
    <row r="128" spans="1:36" ht="30" customHeight="1" x14ac:dyDescent="0.3">
      <c r="A128" s="145"/>
      <c r="B128" s="145"/>
      <c r="C128" s="145"/>
      <c r="D128" s="145"/>
      <c r="E128" s="145"/>
      <c r="F128" s="145"/>
      <c r="G128" s="145"/>
      <c r="H128" s="145"/>
      <c r="I128" s="145"/>
      <c r="J128" s="145"/>
      <c r="K128" s="145"/>
      <c r="L128" s="145"/>
      <c r="M128" s="145"/>
      <c r="N128" s="145"/>
      <c r="O128" s="146"/>
      <c r="P128" s="146"/>
      <c r="Q128" s="146"/>
      <c r="R128" s="146"/>
      <c r="S128" s="146"/>
      <c r="T128" s="146"/>
      <c r="U128" s="146"/>
      <c r="V128" s="146"/>
      <c r="W128" s="146"/>
      <c r="X128" s="146"/>
      <c r="Y128" s="146"/>
      <c r="Z128" s="146"/>
      <c r="AA128" s="146"/>
      <c r="AB128" s="146"/>
      <c r="AC128" s="146"/>
      <c r="AD128" s="146"/>
      <c r="AE128" s="146"/>
      <c r="AF128" s="146"/>
      <c r="AG128" s="146"/>
      <c r="AH128" s="146"/>
      <c r="AI128" s="146"/>
      <c r="AJ128" s="146"/>
    </row>
    <row r="129" spans="1:36" ht="30" customHeight="1" x14ac:dyDescent="0.3">
      <c r="A129" s="145"/>
      <c r="B129" s="145"/>
      <c r="C129" s="145"/>
      <c r="D129" s="145"/>
      <c r="E129" s="145"/>
      <c r="F129" s="145"/>
      <c r="G129" s="145"/>
      <c r="H129" s="145"/>
      <c r="I129" s="145"/>
      <c r="J129" s="145"/>
      <c r="K129" s="145"/>
      <c r="L129" s="145"/>
      <c r="M129" s="145"/>
      <c r="N129" s="145"/>
      <c r="O129" s="146"/>
      <c r="P129" s="146"/>
      <c r="Q129" s="146"/>
      <c r="R129" s="146"/>
      <c r="S129" s="146"/>
      <c r="T129" s="146"/>
      <c r="U129" s="146"/>
      <c r="V129" s="146"/>
      <c r="W129" s="146"/>
      <c r="X129" s="146"/>
      <c r="Y129" s="146"/>
      <c r="Z129" s="146"/>
      <c r="AA129" s="146"/>
      <c r="AB129" s="146"/>
      <c r="AC129" s="146"/>
      <c r="AD129" s="146"/>
      <c r="AE129" s="146"/>
      <c r="AF129" s="146"/>
      <c r="AG129" s="146"/>
      <c r="AH129" s="146"/>
      <c r="AI129" s="146"/>
      <c r="AJ129" s="146"/>
    </row>
    <row r="130" spans="1:36" ht="30" customHeight="1" x14ac:dyDescent="0.3">
      <c r="A130" s="145"/>
      <c r="B130" s="145"/>
      <c r="C130" s="145"/>
      <c r="D130" s="145"/>
      <c r="E130" s="145"/>
      <c r="F130" s="145"/>
      <c r="G130" s="145"/>
      <c r="H130" s="145"/>
      <c r="I130" s="145"/>
      <c r="J130" s="145"/>
      <c r="K130" s="145"/>
      <c r="L130" s="145"/>
      <c r="M130" s="145"/>
      <c r="N130" s="145"/>
      <c r="O130" s="146"/>
      <c r="P130" s="146"/>
      <c r="Q130" s="146"/>
      <c r="R130" s="146"/>
      <c r="S130" s="146"/>
      <c r="T130" s="146"/>
      <c r="U130" s="146"/>
      <c r="V130" s="146"/>
      <c r="W130" s="146"/>
      <c r="X130" s="146"/>
      <c r="Y130" s="146"/>
      <c r="Z130" s="146"/>
      <c r="AA130" s="146"/>
      <c r="AB130" s="146"/>
      <c r="AC130" s="146"/>
      <c r="AD130" s="146"/>
      <c r="AE130" s="146"/>
      <c r="AF130" s="146"/>
      <c r="AG130" s="146"/>
      <c r="AH130" s="146"/>
      <c r="AI130" s="146"/>
      <c r="AJ130" s="146"/>
    </row>
    <row r="131" spans="1:36" ht="30" customHeight="1" x14ac:dyDescent="0.3">
      <c r="A131" s="145"/>
      <c r="B131" s="145"/>
      <c r="C131" s="145"/>
      <c r="D131" s="145"/>
      <c r="E131" s="145"/>
      <c r="F131" s="145"/>
      <c r="G131" s="145"/>
      <c r="H131" s="145"/>
      <c r="I131" s="145"/>
      <c r="J131" s="145"/>
      <c r="K131" s="145"/>
      <c r="L131" s="145"/>
      <c r="M131" s="145"/>
      <c r="N131" s="145"/>
      <c r="O131" s="146"/>
      <c r="P131" s="146"/>
      <c r="Q131" s="146"/>
      <c r="R131" s="146"/>
      <c r="S131" s="146"/>
      <c r="T131" s="146"/>
      <c r="U131" s="146"/>
      <c r="V131" s="146"/>
      <c r="W131" s="146"/>
      <c r="X131" s="146"/>
      <c r="Y131" s="146"/>
      <c r="Z131" s="146"/>
      <c r="AA131" s="146"/>
      <c r="AB131" s="146"/>
      <c r="AC131" s="146"/>
      <c r="AD131" s="146"/>
      <c r="AE131" s="146"/>
      <c r="AF131" s="146"/>
      <c r="AG131" s="146"/>
      <c r="AH131" s="146"/>
      <c r="AI131" s="146"/>
      <c r="AJ131" s="146"/>
    </row>
    <row r="132" spans="1:36" ht="30" customHeight="1" x14ac:dyDescent="0.3">
      <c r="A132" s="145"/>
      <c r="B132" s="145"/>
      <c r="C132" s="145"/>
      <c r="D132" s="145"/>
      <c r="E132" s="145"/>
      <c r="F132" s="145"/>
      <c r="G132" s="145"/>
      <c r="H132" s="145"/>
      <c r="I132" s="145"/>
      <c r="J132" s="145"/>
      <c r="K132" s="145"/>
      <c r="L132" s="145"/>
      <c r="M132" s="145"/>
      <c r="N132" s="145"/>
      <c r="O132" s="146"/>
      <c r="P132" s="146"/>
      <c r="Q132" s="146"/>
      <c r="R132" s="146"/>
      <c r="S132" s="146"/>
      <c r="T132" s="146"/>
      <c r="U132" s="146"/>
      <c r="V132" s="146"/>
      <c r="W132" s="146"/>
      <c r="X132" s="146"/>
      <c r="Y132" s="146"/>
      <c r="Z132" s="146"/>
      <c r="AA132" s="146"/>
      <c r="AB132" s="146"/>
      <c r="AC132" s="146"/>
      <c r="AD132" s="146"/>
      <c r="AE132" s="146"/>
      <c r="AF132" s="146"/>
      <c r="AG132" s="146"/>
      <c r="AH132" s="146"/>
      <c r="AI132" s="146"/>
      <c r="AJ132" s="146"/>
    </row>
    <row r="133" spans="1:36" ht="30" customHeight="1" x14ac:dyDescent="0.3">
      <c r="A133" s="145"/>
      <c r="B133" s="145"/>
      <c r="C133" s="145"/>
      <c r="D133" s="145"/>
      <c r="E133" s="145"/>
      <c r="F133" s="145"/>
      <c r="G133" s="145"/>
      <c r="H133" s="145"/>
      <c r="I133" s="145"/>
      <c r="J133" s="145"/>
      <c r="K133" s="145"/>
      <c r="L133" s="145"/>
      <c r="M133" s="145"/>
      <c r="N133" s="145"/>
      <c r="O133" s="146"/>
      <c r="P133" s="146"/>
      <c r="Q133" s="146"/>
      <c r="R133" s="146"/>
      <c r="S133" s="146"/>
      <c r="T133" s="146"/>
      <c r="U133" s="146"/>
      <c r="V133" s="146"/>
      <c r="W133" s="146"/>
      <c r="X133" s="146"/>
      <c r="Y133" s="146"/>
      <c r="Z133" s="146"/>
      <c r="AA133" s="146"/>
      <c r="AB133" s="146"/>
      <c r="AC133" s="146"/>
      <c r="AD133" s="146"/>
      <c r="AE133" s="146"/>
      <c r="AF133" s="146"/>
      <c r="AG133" s="146"/>
      <c r="AH133" s="146"/>
      <c r="AI133" s="146"/>
      <c r="AJ133" s="146"/>
    </row>
    <row r="134" spans="1:36" ht="30" customHeight="1" x14ac:dyDescent="0.3">
      <c r="A134" s="145"/>
      <c r="B134" s="145"/>
      <c r="C134" s="145"/>
      <c r="D134" s="145"/>
      <c r="E134" s="145"/>
      <c r="F134" s="145"/>
      <c r="G134" s="145"/>
      <c r="H134" s="145"/>
      <c r="I134" s="145"/>
      <c r="J134" s="145"/>
      <c r="K134" s="145"/>
      <c r="L134" s="145"/>
      <c r="M134" s="145"/>
      <c r="N134" s="145"/>
      <c r="O134" s="146"/>
      <c r="P134" s="146"/>
      <c r="Q134" s="146"/>
      <c r="R134" s="146"/>
      <c r="S134" s="146"/>
      <c r="T134" s="146"/>
      <c r="U134" s="146"/>
      <c r="V134" s="146"/>
      <c r="W134" s="146"/>
      <c r="X134" s="146"/>
      <c r="Y134" s="146"/>
      <c r="Z134" s="146"/>
      <c r="AA134" s="146"/>
      <c r="AB134" s="146"/>
      <c r="AC134" s="146"/>
      <c r="AD134" s="146"/>
      <c r="AE134" s="146"/>
      <c r="AF134" s="146"/>
      <c r="AG134" s="146"/>
      <c r="AH134" s="146"/>
      <c r="AI134" s="146"/>
      <c r="AJ134" s="146"/>
    </row>
    <row r="135" spans="1:36" ht="30" customHeight="1" x14ac:dyDescent="0.3">
      <c r="A135" s="145"/>
      <c r="B135" s="145"/>
      <c r="C135" s="145"/>
      <c r="D135" s="145"/>
      <c r="E135" s="145"/>
      <c r="F135" s="145"/>
      <c r="G135" s="145"/>
      <c r="H135" s="145"/>
      <c r="I135" s="145"/>
      <c r="J135" s="145"/>
      <c r="K135" s="145"/>
      <c r="L135" s="145"/>
      <c r="M135" s="145"/>
      <c r="N135" s="145"/>
      <c r="O135" s="146"/>
      <c r="P135" s="146"/>
      <c r="Q135" s="146"/>
      <c r="R135" s="146"/>
      <c r="S135" s="146"/>
      <c r="T135" s="146"/>
      <c r="U135" s="146"/>
      <c r="V135" s="146"/>
      <c r="W135" s="146"/>
      <c r="X135" s="146"/>
      <c r="Y135" s="146"/>
      <c r="Z135" s="146"/>
      <c r="AA135" s="146"/>
      <c r="AB135" s="146"/>
      <c r="AC135" s="146"/>
      <c r="AD135" s="146"/>
      <c r="AE135" s="146"/>
      <c r="AF135" s="146"/>
      <c r="AG135" s="146"/>
      <c r="AH135" s="146"/>
      <c r="AI135" s="146"/>
      <c r="AJ135" s="146"/>
    </row>
    <row r="136" spans="1:36" ht="30" customHeight="1" x14ac:dyDescent="0.3">
      <c r="A136" s="145"/>
      <c r="B136" s="145"/>
      <c r="C136" s="145"/>
      <c r="D136" s="145"/>
      <c r="E136" s="145"/>
      <c r="F136" s="145"/>
      <c r="G136" s="145"/>
      <c r="H136" s="145"/>
      <c r="I136" s="145"/>
      <c r="J136" s="145"/>
      <c r="K136" s="145"/>
      <c r="L136" s="145"/>
      <c r="M136" s="145"/>
      <c r="N136" s="145"/>
      <c r="O136" s="146"/>
      <c r="P136" s="146"/>
      <c r="Q136" s="146"/>
      <c r="R136" s="146"/>
      <c r="S136" s="146"/>
      <c r="T136" s="146"/>
      <c r="U136" s="146"/>
      <c r="V136" s="146"/>
      <c r="W136" s="146"/>
      <c r="X136" s="146"/>
      <c r="Y136" s="146"/>
      <c r="Z136" s="146"/>
      <c r="AA136" s="146"/>
      <c r="AB136" s="146"/>
      <c r="AC136" s="146"/>
      <c r="AD136" s="146"/>
      <c r="AE136" s="146"/>
      <c r="AF136" s="146"/>
      <c r="AG136" s="146"/>
      <c r="AH136" s="146"/>
      <c r="AI136" s="146"/>
      <c r="AJ136" s="146"/>
    </row>
    <row r="137" spans="1:36" ht="30" customHeight="1" x14ac:dyDescent="0.3">
      <c r="A137" s="145"/>
      <c r="B137" s="145"/>
      <c r="C137" s="145"/>
      <c r="D137" s="145"/>
      <c r="E137" s="145"/>
      <c r="F137" s="145"/>
      <c r="G137" s="145"/>
      <c r="H137" s="145"/>
      <c r="I137" s="145"/>
      <c r="J137" s="145"/>
      <c r="K137" s="145"/>
      <c r="L137" s="145"/>
      <c r="M137" s="145"/>
      <c r="N137" s="145"/>
      <c r="O137" s="146"/>
      <c r="P137" s="146"/>
      <c r="Q137" s="146"/>
      <c r="R137" s="146"/>
      <c r="S137" s="146"/>
      <c r="T137" s="146"/>
      <c r="U137" s="146"/>
      <c r="V137" s="146"/>
      <c r="W137" s="146"/>
      <c r="X137" s="146"/>
      <c r="Y137" s="146"/>
      <c r="Z137" s="146"/>
      <c r="AA137" s="146"/>
      <c r="AB137" s="146"/>
      <c r="AC137" s="146"/>
      <c r="AD137" s="146"/>
      <c r="AE137" s="146"/>
      <c r="AF137" s="146"/>
      <c r="AG137" s="146"/>
      <c r="AH137" s="146"/>
      <c r="AI137" s="146"/>
      <c r="AJ137" s="146"/>
    </row>
    <row r="138" spans="1:36" ht="30" customHeight="1" x14ac:dyDescent="0.3">
      <c r="A138" s="145"/>
      <c r="B138" s="145"/>
      <c r="C138" s="145"/>
      <c r="D138" s="145"/>
      <c r="E138" s="145"/>
      <c r="F138" s="145"/>
      <c r="G138" s="145"/>
      <c r="H138" s="145"/>
      <c r="I138" s="145"/>
      <c r="J138" s="145"/>
      <c r="K138" s="145"/>
      <c r="L138" s="145"/>
      <c r="M138" s="145"/>
      <c r="N138" s="145"/>
      <c r="O138" s="146"/>
      <c r="P138" s="146"/>
      <c r="Q138" s="146"/>
      <c r="R138" s="146"/>
      <c r="S138" s="146"/>
      <c r="T138" s="146"/>
      <c r="U138" s="146"/>
      <c r="V138" s="146"/>
      <c r="W138" s="146"/>
      <c r="X138" s="146"/>
      <c r="Y138" s="146"/>
      <c r="Z138" s="146"/>
      <c r="AA138" s="146"/>
      <c r="AB138" s="146"/>
      <c r="AC138" s="146"/>
      <c r="AD138" s="146"/>
      <c r="AE138" s="146"/>
      <c r="AF138" s="146"/>
      <c r="AG138" s="146"/>
      <c r="AH138" s="146"/>
      <c r="AI138" s="146"/>
      <c r="AJ138" s="146"/>
    </row>
    <row r="139" spans="1:36" ht="30" customHeight="1" x14ac:dyDescent="0.3">
      <c r="A139" s="145"/>
      <c r="B139" s="145"/>
      <c r="C139" s="145"/>
      <c r="D139" s="145"/>
      <c r="E139" s="145"/>
      <c r="F139" s="145"/>
      <c r="G139" s="145"/>
      <c r="H139" s="145"/>
      <c r="I139" s="145"/>
      <c r="J139" s="145"/>
      <c r="K139" s="145"/>
      <c r="L139" s="145"/>
      <c r="M139" s="145"/>
      <c r="N139" s="145"/>
      <c r="O139" s="146"/>
      <c r="P139" s="146"/>
      <c r="Q139" s="146"/>
      <c r="R139" s="146"/>
      <c r="S139" s="146"/>
      <c r="T139" s="146"/>
      <c r="U139" s="146"/>
      <c r="V139" s="146"/>
      <c r="W139" s="146"/>
      <c r="X139" s="146"/>
      <c r="Y139" s="146"/>
      <c r="Z139" s="146"/>
      <c r="AA139" s="146"/>
      <c r="AB139" s="146"/>
      <c r="AC139" s="146"/>
      <c r="AD139" s="146"/>
      <c r="AE139" s="146"/>
      <c r="AF139" s="146"/>
      <c r="AG139" s="146"/>
      <c r="AH139" s="146"/>
      <c r="AI139" s="146"/>
      <c r="AJ139" s="146"/>
    </row>
    <row r="140" spans="1:36" ht="30" customHeight="1" x14ac:dyDescent="0.3">
      <c r="A140" s="145"/>
      <c r="B140" s="145"/>
      <c r="C140" s="145"/>
      <c r="D140" s="145"/>
      <c r="E140" s="145"/>
      <c r="F140" s="145"/>
      <c r="G140" s="145"/>
      <c r="H140" s="145"/>
      <c r="I140" s="145"/>
      <c r="J140" s="145"/>
      <c r="K140" s="145"/>
      <c r="L140" s="145"/>
      <c r="M140" s="145"/>
      <c r="N140" s="145"/>
      <c r="O140" s="146"/>
      <c r="P140" s="146"/>
      <c r="Q140" s="146"/>
      <c r="R140" s="146"/>
      <c r="S140" s="146"/>
      <c r="T140" s="146"/>
      <c r="U140" s="146"/>
      <c r="V140" s="146"/>
      <c r="W140" s="146"/>
      <c r="X140" s="146"/>
      <c r="Y140" s="146"/>
      <c r="Z140" s="146"/>
      <c r="AA140" s="146"/>
      <c r="AB140" s="146"/>
      <c r="AC140" s="146"/>
      <c r="AD140" s="146"/>
      <c r="AE140" s="146"/>
      <c r="AF140" s="146"/>
      <c r="AG140" s="146"/>
      <c r="AH140" s="146"/>
      <c r="AI140" s="146"/>
      <c r="AJ140" s="146"/>
    </row>
    <row r="141" spans="1:36" ht="30" customHeight="1" x14ac:dyDescent="0.3">
      <c r="A141" s="145"/>
      <c r="B141" s="145"/>
      <c r="C141" s="145"/>
      <c r="D141" s="145"/>
      <c r="E141" s="145"/>
      <c r="F141" s="145"/>
      <c r="G141" s="145"/>
      <c r="H141" s="145"/>
      <c r="I141" s="145"/>
      <c r="J141" s="145"/>
      <c r="K141" s="145"/>
      <c r="L141" s="145"/>
      <c r="M141" s="145"/>
      <c r="N141" s="145"/>
      <c r="O141" s="146"/>
      <c r="P141" s="146"/>
      <c r="Q141" s="146"/>
      <c r="R141" s="146"/>
      <c r="S141" s="146"/>
      <c r="T141" s="146"/>
      <c r="U141" s="146"/>
      <c r="V141" s="146"/>
      <c r="W141" s="146"/>
      <c r="X141" s="146"/>
      <c r="Y141" s="146"/>
      <c r="Z141" s="146"/>
      <c r="AA141" s="146"/>
      <c r="AB141" s="146"/>
      <c r="AC141" s="146"/>
      <c r="AD141" s="146"/>
      <c r="AE141" s="146"/>
      <c r="AF141" s="146"/>
      <c r="AG141" s="146"/>
      <c r="AH141" s="146"/>
      <c r="AI141" s="146"/>
      <c r="AJ141" s="146"/>
    </row>
    <row r="142" spans="1:36" ht="30" customHeight="1" x14ac:dyDescent="0.3">
      <c r="A142" s="145"/>
      <c r="B142" s="145"/>
      <c r="C142" s="145"/>
      <c r="D142" s="145"/>
      <c r="E142" s="145"/>
      <c r="F142" s="145"/>
      <c r="G142" s="145"/>
      <c r="H142" s="145"/>
      <c r="I142" s="145"/>
      <c r="J142" s="145"/>
      <c r="K142" s="145"/>
      <c r="L142" s="145"/>
      <c r="M142" s="145"/>
      <c r="N142" s="145"/>
      <c r="O142" s="146"/>
      <c r="P142" s="146"/>
      <c r="Q142" s="146"/>
      <c r="R142" s="146"/>
      <c r="S142" s="146"/>
      <c r="T142" s="146"/>
      <c r="U142" s="146"/>
      <c r="V142" s="146"/>
      <c r="W142" s="146"/>
      <c r="X142" s="146"/>
      <c r="Y142" s="146"/>
      <c r="Z142" s="146"/>
      <c r="AA142" s="146"/>
      <c r="AB142" s="146"/>
      <c r="AC142" s="146"/>
      <c r="AD142" s="146"/>
      <c r="AE142" s="146"/>
      <c r="AF142" s="146"/>
      <c r="AG142" s="146"/>
      <c r="AH142" s="146"/>
      <c r="AI142" s="146"/>
      <c r="AJ142" s="146"/>
    </row>
    <row r="143" spans="1:36" ht="30" customHeight="1" x14ac:dyDescent="0.3">
      <c r="A143" s="145"/>
      <c r="B143" s="145"/>
      <c r="C143" s="145"/>
      <c r="D143" s="145"/>
      <c r="E143" s="145"/>
      <c r="F143" s="145"/>
      <c r="G143" s="145"/>
      <c r="H143" s="145"/>
      <c r="I143" s="145"/>
      <c r="J143" s="145"/>
      <c r="K143" s="145"/>
      <c r="L143" s="145"/>
      <c r="M143" s="145"/>
      <c r="N143" s="145"/>
      <c r="O143" s="146"/>
      <c r="P143" s="146"/>
      <c r="Q143" s="146"/>
      <c r="R143" s="146"/>
      <c r="S143" s="146"/>
      <c r="T143" s="146"/>
      <c r="U143" s="146"/>
      <c r="V143" s="146"/>
      <c r="W143" s="146"/>
      <c r="X143" s="146"/>
      <c r="Y143" s="146"/>
      <c r="Z143" s="146"/>
      <c r="AA143" s="146"/>
      <c r="AB143" s="146"/>
      <c r="AC143" s="146"/>
      <c r="AD143" s="146"/>
      <c r="AE143" s="146"/>
      <c r="AF143" s="146"/>
      <c r="AG143" s="146"/>
      <c r="AH143" s="146"/>
      <c r="AI143" s="146"/>
      <c r="AJ143" s="146"/>
    </row>
    <row r="144" spans="1:36" ht="30" customHeight="1" x14ac:dyDescent="0.3">
      <c r="A144" s="145"/>
      <c r="B144" s="145"/>
      <c r="C144" s="145"/>
      <c r="D144" s="145"/>
      <c r="E144" s="145"/>
      <c r="F144" s="145"/>
      <c r="G144" s="145"/>
      <c r="H144" s="145"/>
      <c r="I144" s="145"/>
      <c r="J144" s="145"/>
      <c r="K144" s="145"/>
      <c r="L144" s="145"/>
      <c r="M144" s="145"/>
      <c r="N144" s="145"/>
      <c r="O144" s="146"/>
      <c r="P144" s="146"/>
      <c r="Q144" s="146"/>
      <c r="R144" s="146"/>
      <c r="S144" s="146"/>
      <c r="T144" s="146"/>
      <c r="U144" s="146"/>
      <c r="V144" s="146"/>
      <c r="W144" s="146"/>
      <c r="X144" s="146"/>
      <c r="Y144" s="146"/>
      <c r="Z144" s="146"/>
      <c r="AA144" s="146"/>
      <c r="AB144" s="146"/>
      <c r="AC144" s="146"/>
      <c r="AD144" s="146"/>
      <c r="AE144" s="146"/>
      <c r="AF144" s="146"/>
      <c r="AG144" s="146"/>
      <c r="AH144" s="146"/>
      <c r="AI144" s="146"/>
      <c r="AJ144" s="146"/>
    </row>
    <row r="145" spans="1:36" ht="30" customHeight="1" x14ac:dyDescent="0.3">
      <c r="A145" s="145"/>
      <c r="B145" s="145"/>
      <c r="C145" s="145"/>
      <c r="D145" s="145"/>
      <c r="E145" s="145"/>
      <c r="F145" s="145"/>
      <c r="G145" s="145"/>
      <c r="H145" s="145"/>
      <c r="I145" s="145"/>
      <c r="J145" s="145"/>
      <c r="K145" s="145"/>
      <c r="L145" s="145"/>
      <c r="M145" s="145"/>
      <c r="N145" s="145"/>
      <c r="O145" s="146"/>
      <c r="P145" s="146"/>
      <c r="Q145" s="146"/>
      <c r="R145" s="146"/>
      <c r="S145" s="146"/>
      <c r="T145" s="146"/>
      <c r="U145" s="146"/>
      <c r="V145" s="146"/>
      <c r="W145" s="146"/>
      <c r="X145" s="146"/>
      <c r="Y145" s="146"/>
      <c r="Z145" s="146"/>
      <c r="AA145" s="146"/>
      <c r="AB145" s="146"/>
      <c r="AC145" s="146"/>
      <c r="AD145" s="146"/>
      <c r="AE145" s="146"/>
      <c r="AF145" s="146"/>
      <c r="AG145" s="146"/>
      <c r="AH145" s="146"/>
      <c r="AI145" s="146"/>
      <c r="AJ145" s="146"/>
    </row>
    <row r="146" spans="1:36" ht="30" customHeight="1" x14ac:dyDescent="0.3">
      <c r="A146" s="145"/>
      <c r="B146" s="145"/>
      <c r="C146" s="145"/>
      <c r="D146" s="145"/>
      <c r="E146" s="145"/>
      <c r="F146" s="145"/>
      <c r="G146" s="145"/>
      <c r="H146" s="145"/>
      <c r="I146" s="145"/>
      <c r="J146" s="145"/>
      <c r="K146" s="145"/>
      <c r="L146" s="145"/>
      <c r="M146" s="145"/>
      <c r="N146" s="145"/>
      <c r="O146" s="146"/>
      <c r="P146" s="146"/>
      <c r="Q146" s="146"/>
      <c r="R146" s="146"/>
      <c r="S146" s="146"/>
      <c r="T146" s="146"/>
      <c r="U146" s="146"/>
      <c r="V146" s="146"/>
      <c r="W146" s="146"/>
      <c r="X146" s="146"/>
      <c r="Y146" s="146"/>
      <c r="Z146" s="146"/>
      <c r="AA146" s="146"/>
      <c r="AB146" s="146"/>
      <c r="AC146" s="146"/>
      <c r="AD146" s="146"/>
      <c r="AE146" s="146"/>
      <c r="AF146" s="146"/>
      <c r="AG146" s="146"/>
      <c r="AH146" s="146"/>
      <c r="AI146" s="146"/>
      <c r="AJ146" s="146"/>
    </row>
    <row r="147" spans="1:36" ht="30" customHeight="1" x14ac:dyDescent="0.3">
      <c r="A147" s="145"/>
      <c r="B147" s="145"/>
      <c r="C147" s="145"/>
      <c r="D147" s="145"/>
      <c r="E147" s="145"/>
      <c r="F147" s="145"/>
      <c r="G147" s="145"/>
      <c r="H147" s="145"/>
      <c r="I147" s="145"/>
      <c r="J147" s="145"/>
      <c r="K147" s="145"/>
      <c r="L147" s="145"/>
      <c r="M147" s="145"/>
      <c r="N147" s="145"/>
      <c r="O147" s="146"/>
      <c r="P147" s="146"/>
      <c r="Q147" s="146"/>
      <c r="R147" s="146"/>
      <c r="S147" s="146"/>
      <c r="T147" s="146"/>
      <c r="U147" s="146"/>
      <c r="V147" s="146"/>
      <c r="W147" s="146"/>
      <c r="X147" s="146"/>
      <c r="Y147" s="146"/>
      <c r="Z147" s="146"/>
      <c r="AA147" s="146"/>
      <c r="AB147" s="146"/>
      <c r="AC147" s="146"/>
      <c r="AD147" s="146"/>
      <c r="AE147" s="146"/>
      <c r="AF147" s="146"/>
      <c r="AG147" s="146"/>
      <c r="AH147" s="146"/>
      <c r="AI147" s="146"/>
      <c r="AJ147" s="146"/>
    </row>
    <row r="148" spans="1:36" ht="30" customHeight="1" x14ac:dyDescent="0.3">
      <c r="A148" s="145"/>
      <c r="B148" s="145"/>
      <c r="C148" s="145"/>
      <c r="D148" s="145"/>
      <c r="E148" s="145"/>
      <c r="F148" s="145"/>
      <c r="G148" s="145"/>
      <c r="H148" s="145"/>
      <c r="I148" s="145"/>
      <c r="J148" s="145"/>
      <c r="K148" s="145"/>
      <c r="L148" s="145"/>
      <c r="M148" s="145"/>
      <c r="N148" s="145"/>
      <c r="O148" s="146"/>
      <c r="P148" s="146"/>
      <c r="Q148" s="146"/>
      <c r="R148" s="146"/>
      <c r="S148" s="146"/>
      <c r="T148" s="146"/>
      <c r="U148" s="146"/>
      <c r="V148" s="146"/>
      <c r="W148" s="146"/>
      <c r="X148" s="146"/>
      <c r="Y148" s="146"/>
      <c r="Z148" s="146"/>
      <c r="AA148" s="146"/>
      <c r="AB148" s="146"/>
      <c r="AC148" s="146"/>
      <c r="AD148" s="146"/>
      <c r="AE148" s="146"/>
      <c r="AF148" s="146"/>
      <c r="AG148" s="146"/>
      <c r="AH148" s="146"/>
      <c r="AI148" s="146"/>
      <c r="AJ148" s="146"/>
    </row>
    <row r="149" spans="1:36" ht="30" customHeight="1" x14ac:dyDescent="0.3">
      <c r="A149" s="145"/>
      <c r="B149" s="145"/>
      <c r="C149" s="145"/>
      <c r="D149" s="145"/>
      <c r="E149" s="145"/>
      <c r="F149" s="145"/>
      <c r="G149" s="145"/>
      <c r="H149" s="145"/>
      <c r="I149" s="145"/>
      <c r="J149" s="145"/>
      <c r="K149" s="145"/>
      <c r="L149" s="145"/>
      <c r="M149" s="145"/>
      <c r="N149" s="145"/>
      <c r="O149" s="146"/>
      <c r="P149" s="146"/>
      <c r="Q149" s="146"/>
      <c r="R149" s="146"/>
      <c r="S149" s="146"/>
      <c r="T149" s="146"/>
      <c r="U149" s="146"/>
      <c r="V149" s="146"/>
      <c r="W149" s="146"/>
      <c r="X149" s="146"/>
      <c r="Y149" s="146"/>
      <c r="Z149" s="146"/>
      <c r="AA149" s="146"/>
      <c r="AB149" s="146"/>
      <c r="AC149" s="146"/>
      <c r="AD149" s="146"/>
      <c r="AE149" s="146"/>
      <c r="AF149" s="146"/>
      <c r="AG149" s="146"/>
      <c r="AH149" s="146"/>
      <c r="AI149" s="146"/>
      <c r="AJ149" s="146"/>
    </row>
    <row r="150" spans="1:36" ht="30" customHeight="1" x14ac:dyDescent="0.3">
      <c r="A150" s="145"/>
      <c r="B150" s="145"/>
      <c r="C150" s="145"/>
      <c r="D150" s="145"/>
      <c r="E150" s="145"/>
      <c r="F150" s="145"/>
      <c r="G150" s="145"/>
      <c r="H150" s="145"/>
      <c r="I150" s="145"/>
      <c r="J150" s="145"/>
      <c r="K150" s="145"/>
      <c r="L150" s="145"/>
      <c r="M150" s="145"/>
      <c r="N150" s="145"/>
      <c r="O150" s="146"/>
      <c r="P150" s="146"/>
      <c r="Q150" s="146"/>
      <c r="R150" s="146"/>
      <c r="S150" s="146"/>
      <c r="T150" s="146"/>
      <c r="U150" s="146"/>
      <c r="V150" s="146"/>
      <c r="W150" s="146"/>
      <c r="X150" s="146"/>
      <c r="Y150" s="146"/>
      <c r="Z150" s="146"/>
      <c r="AA150" s="146"/>
      <c r="AB150" s="146"/>
      <c r="AC150" s="146"/>
      <c r="AD150" s="146"/>
      <c r="AE150" s="146"/>
      <c r="AF150" s="146"/>
      <c r="AG150" s="146"/>
      <c r="AH150" s="146"/>
      <c r="AI150" s="146"/>
      <c r="AJ150" s="146"/>
    </row>
    <row r="151" spans="1:36" ht="30" customHeight="1" x14ac:dyDescent="0.3">
      <c r="A151" s="145"/>
      <c r="B151" s="145"/>
      <c r="C151" s="145"/>
      <c r="D151" s="145"/>
      <c r="E151" s="145"/>
      <c r="F151" s="145"/>
      <c r="G151" s="145"/>
      <c r="H151" s="145"/>
      <c r="I151" s="145"/>
      <c r="J151" s="145"/>
      <c r="K151" s="145"/>
      <c r="L151" s="145"/>
      <c r="M151" s="145"/>
      <c r="N151" s="145"/>
      <c r="O151" s="146"/>
      <c r="P151" s="146"/>
      <c r="Q151" s="146"/>
      <c r="R151" s="146"/>
      <c r="S151" s="146"/>
      <c r="T151" s="146"/>
      <c r="U151" s="146"/>
      <c r="V151" s="146"/>
      <c r="W151" s="146"/>
      <c r="X151" s="146"/>
      <c r="Y151" s="146"/>
      <c r="Z151" s="146"/>
      <c r="AA151" s="146"/>
      <c r="AB151" s="146"/>
      <c r="AC151" s="146"/>
      <c r="AD151" s="146"/>
      <c r="AE151" s="146"/>
      <c r="AF151" s="146"/>
      <c r="AG151" s="146"/>
      <c r="AH151" s="146"/>
      <c r="AI151" s="146"/>
      <c r="AJ151" s="146"/>
    </row>
    <row r="152" spans="1:36" ht="30" customHeight="1" x14ac:dyDescent="0.3">
      <c r="A152" s="145"/>
      <c r="B152" s="145"/>
      <c r="C152" s="145"/>
      <c r="D152" s="145"/>
      <c r="E152" s="145"/>
      <c r="F152" s="145"/>
      <c r="G152" s="145"/>
      <c r="H152" s="145"/>
      <c r="I152" s="145"/>
      <c r="J152" s="145"/>
      <c r="K152" s="145"/>
      <c r="L152" s="145"/>
      <c r="M152" s="145"/>
      <c r="N152" s="145"/>
      <c r="O152" s="146"/>
      <c r="P152" s="146"/>
      <c r="Q152" s="146"/>
      <c r="R152" s="146"/>
      <c r="S152" s="146"/>
      <c r="T152" s="146"/>
      <c r="U152" s="146"/>
      <c r="V152" s="146"/>
      <c r="W152" s="146"/>
      <c r="X152" s="146"/>
      <c r="Y152" s="146"/>
      <c r="Z152" s="146"/>
      <c r="AA152" s="146"/>
      <c r="AB152" s="146"/>
      <c r="AC152" s="146"/>
      <c r="AD152" s="146"/>
      <c r="AE152" s="146"/>
      <c r="AF152" s="146"/>
      <c r="AG152" s="146"/>
      <c r="AH152" s="146"/>
      <c r="AI152" s="146"/>
      <c r="AJ152" s="146"/>
    </row>
    <row r="153" spans="1:36" ht="30" customHeight="1" x14ac:dyDescent="0.3">
      <c r="A153" s="145"/>
      <c r="B153" s="145"/>
      <c r="C153" s="145"/>
      <c r="D153" s="145"/>
      <c r="E153" s="145"/>
      <c r="F153" s="145"/>
      <c r="G153" s="145"/>
      <c r="H153" s="145"/>
      <c r="I153" s="145"/>
      <c r="J153" s="145"/>
      <c r="K153" s="145"/>
      <c r="L153" s="145"/>
      <c r="M153" s="145"/>
      <c r="N153" s="145"/>
      <c r="O153" s="146"/>
      <c r="P153" s="146"/>
      <c r="Q153" s="146"/>
      <c r="R153" s="146"/>
      <c r="S153" s="146"/>
      <c r="T153" s="146"/>
      <c r="U153" s="146"/>
      <c r="V153" s="146"/>
      <c r="W153" s="146"/>
      <c r="X153" s="146"/>
      <c r="Y153" s="146"/>
      <c r="Z153" s="146"/>
      <c r="AA153" s="146"/>
      <c r="AB153" s="146"/>
      <c r="AC153" s="146"/>
      <c r="AD153" s="146"/>
      <c r="AE153" s="146"/>
      <c r="AF153" s="146"/>
      <c r="AG153" s="146"/>
      <c r="AH153" s="146"/>
      <c r="AI153" s="146"/>
      <c r="AJ153" s="146"/>
    </row>
    <row r="154" spans="1:36" ht="30" customHeight="1" x14ac:dyDescent="0.3">
      <c r="A154" s="145"/>
      <c r="B154" s="145"/>
      <c r="C154" s="145"/>
      <c r="D154" s="145"/>
      <c r="E154" s="145"/>
      <c r="F154" s="145"/>
      <c r="G154" s="145"/>
      <c r="H154" s="145"/>
      <c r="I154" s="145"/>
      <c r="J154" s="145"/>
      <c r="K154" s="145"/>
      <c r="L154" s="145"/>
      <c r="M154" s="145"/>
      <c r="N154" s="145"/>
      <c r="O154" s="146"/>
      <c r="P154" s="146"/>
      <c r="Q154" s="146"/>
      <c r="R154" s="146"/>
      <c r="S154" s="146"/>
      <c r="T154" s="146"/>
      <c r="U154" s="146"/>
      <c r="V154" s="146"/>
      <c r="W154" s="146"/>
      <c r="X154" s="146"/>
      <c r="Y154" s="146"/>
      <c r="Z154" s="146"/>
      <c r="AA154" s="146"/>
      <c r="AB154" s="146"/>
      <c r="AC154" s="146"/>
      <c r="AD154" s="146"/>
      <c r="AE154" s="146"/>
      <c r="AF154" s="146"/>
      <c r="AG154" s="146"/>
      <c r="AH154" s="146"/>
      <c r="AI154" s="146"/>
      <c r="AJ154" s="146"/>
    </row>
    <row r="155" spans="1:36" ht="30" customHeight="1" x14ac:dyDescent="0.3">
      <c r="A155" s="145"/>
      <c r="B155" s="145"/>
      <c r="C155" s="145"/>
      <c r="D155" s="145"/>
      <c r="E155" s="145"/>
      <c r="F155" s="145"/>
      <c r="G155" s="145"/>
      <c r="H155" s="145"/>
      <c r="I155" s="145"/>
      <c r="J155" s="145"/>
      <c r="K155" s="145"/>
      <c r="L155" s="145"/>
      <c r="M155" s="145"/>
      <c r="N155" s="145"/>
      <c r="O155" s="146"/>
      <c r="P155" s="146"/>
      <c r="Q155" s="146"/>
      <c r="R155" s="146"/>
      <c r="S155" s="146"/>
      <c r="T155" s="146"/>
      <c r="U155" s="146"/>
      <c r="V155" s="146"/>
      <c r="W155" s="146"/>
      <c r="X155" s="146"/>
      <c r="Y155" s="146"/>
      <c r="Z155" s="146"/>
      <c r="AA155" s="146"/>
      <c r="AB155" s="146"/>
      <c r="AC155" s="146"/>
      <c r="AD155" s="146"/>
      <c r="AE155" s="146"/>
      <c r="AF155" s="146"/>
      <c r="AG155" s="146"/>
      <c r="AH155" s="146"/>
      <c r="AI155" s="146"/>
      <c r="AJ155" s="146"/>
    </row>
    <row r="156" spans="1:36" ht="30" customHeight="1" x14ac:dyDescent="0.3">
      <c r="A156" s="145"/>
      <c r="B156" s="145"/>
      <c r="C156" s="145"/>
      <c r="D156" s="145"/>
      <c r="E156" s="145"/>
      <c r="F156" s="145"/>
      <c r="G156" s="145"/>
      <c r="H156" s="145"/>
      <c r="I156" s="145"/>
      <c r="J156" s="145"/>
      <c r="K156" s="145"/>
      <c r="L156" s="145"/>
      <c r="M156" s="145"/>
      <c r="N156" s="145"/>
      <c r="O156" s="146"/>
      <c r="P156" s="146"/>
      <c r="Q156" s="146"/>
      <c r="R156" s="146"/>
      <c r="S156" s="146"/>
      <c r="T156" s="146"/>
      <c r="U156" s="146"/>
      <c r="V156" s="146"/>
      <c r="W156" s="146"/>
      <c r="X156" s="146"/>
      <c r="Y156" s="146"/>
      <c r="Z156" s="146"/>
      <c r="AA156" s="146"/>
      <c r="AB156" s="146"/>
      <c r="AC156" s="146"/>
      <c r="AD156" s="146"/>
      <c r="AE156" s="146"/>
      <c r="AF156" s="146"/>
      <c r="AG156" s="146"/>
      <c r="AH156" s="146"/>
      <c r="AI156" s="146"/>
      <c r="AJ156" s="146"/>
    </row>
    <row r="157" spans="1:36" ht="30" customHeight="1" x14ac:dyDescent="0.3">
      <c r="A157" s="145"/>
      <c r="B157" s="145"/>
      <c r="C157" s="145"/>
      <c r="D157" s="145"/>
      <c r="E157" s="145"/>
      <c r="F157" s="145"/>
      <c r="G157" s="145"/>
      <c r="H157" s="145"/>
      <c r="I157" s="145"/>
      <c r="J157" s="145"/>
      <c r="K157" s="145"/>
      <c r="L157" s="145"/>
      <c r="M157" s="145"/>
      <c r="N157" s="145"/>
      <c r="O157" s="146"/>
      <c r="P157" s="146"/>
      <c r="Q157" s="146"/>
      <c r="R157" s="146"/>
      <c r="S157" s="146"/>
      <c r="T157" s="146"/>
      <c r="U157" s="146"/>
      <c r="V157" s="146"/>
      <c r="W157" s="146"/>
      <c r="X157" s="146"/>
      <c r="Y157" s="146"/>
      <c r="Z157" s="146"/>
      <c r="AA157" s="146"/>
      <c r="AB157" s="146"/>
      <c r="AC157" s="146"/>
      <c r="AD157" s="146"/>
      <c r="AE157" s="146"/>
      <c r="AF157" s="146"/>
      <c r="AG157" s="146"/>
      <c r="AH157" s="146"/>
      <c r="AI157" s="146"/>
      <c r="AJ157" s="146"/>
    </row>
    <row r="158" spans="1:36" ht="30" customHeight="1" x14ac:dyDescent="0.3">
      <c r="A158" s="145"/>
      <c r="B158" s="145"/>
      <c r="C158" s="145"/>
      <c r="D158" s="145"/>
      <c r="E158" s="145"/>
      <c r="F158" s="145"/>
      <c r="G158" s="145"/>
      <c r="H158" s="145"/>
      <c r="I158" s="145"/>
      <c r="J158" s="145"/>
      <c r="K158" s="145"/>
      <c r="L158" s="145"/>
      <c r="M158" s="145"/>
      <c r="N158" s="145"/>
      <c r="O158" s="146"/>
      <c r="P158" s="146"/>
      <c r="Q158" s="146"/>
      <c r="R158" s="146"/>
      <c r="S158" s="146"/>
      <c r="T158" s="146"/>
      <c r="U158" s="146"/>
      <c r="V158" s="146"/>
      <c r="W158" s="146"/>
      <c r="X158" s="146"/>
      <c r="Y158" s="146"/>
      <c r="Z158" s="146"/>
      <c r="AA158" s="146"/>
      <c r="AB158" s="146"/>
      <c r="AC158" s="146"/>
      <c r="AD158" s="146"/>
      <c r="AE158" s="146"/>
      <c r="AF158" s="146"/>
      <c r="AG158" s="146"/>
      <c r="AH158" s="146"/>
      <c r="AI158" s="146"/>
      <c r="AJ158" s="146"/>
    </row>
    <row r="159" spans="1:36" ht="30" customHeight="1" x14ac:dyDescent="0.3">
      <c r="A159" s="145"/>
      <c r="B159" s="145"/>
      <c r="C159" s="145"/>
      <c r="D159" s="145"/>
      <c r="E159" s="145"/>
      <c r="F159" s="145"/>
      <c r="G159" s="145"/>
      <c r="H159" s="145"/>
      <c r="I159" s="145"/>
      <c r="J159" s="145"/>
      <c r="K159" s="145"/>
      <c r="L159" s="145"/>
      <c r="M159" s="145"/>
      <c r="N159" s="145"/>
      <c r="O159" s="146"/>
      <c r="P159" s="146"/>
      <c r="Q159" s="146"/>
      <c r="R159" s="146"/>
      <c r="S159" s="146"/>
      <c r="T159" s="146"/>
      <c r="U159" s="146"/>
      <c r="V159" s="146"/>
      <c r="W159" s="146"/>
      <c r="X159" s="146"/>
      <c r="Y159" s="146"/>
      <c r="Z159" s="146"/>
      <c r="AA159" s="146"/>
      <c r="AB159" s="146"/>
      <c r="AC159" s="146"/>
      <c r="AD159" s="146"/>
      <c r="AE159" s="146"/>
      <c r="AF159" s="146"/>
      <c r="AG159" s="146"/>
      <c r="AH159" s="146"/>
      <c r="AI159" s="146"/>
      <c r="AJ159" s="146"/>
    </row>
    <row r="160" spans="1:36" ht="30" customHeight="1" x14ac:dyDescent="0.3">
      <c r="A160" s="145"/>
      <c r="B160" s="145"/>
      <c r="C160" s="145"/>
      <c r="D160" s="145"/>
      <c r="E160" s="145"/>
      <c r="F160" s="145"/>
      <c r="G160" s="145"/>
      <c r="H160" s="145"/>
      <c r="I160" s="145"/>
      <c r="J160" s="145"/>
      <c r="K160" s="145"/>
      <c r="L160" s="145"/>
      <c r="M160" s="145"/>
      <c r="N160" s="145"/>
      <c r="O160" s="146"/>
      <c r="P160" s="146"/>
      <c r="Q160" s="146"/>
      <c r="R160" s="146"/>
      <c r="S160" s="146"/>
      <c r="T160" s="146"/>
      <c r="U160" s="146"/>
      <c r="V160" s="146"/>
      <c r="W160" s="146"/>
      <c r="X160" s="146"/>
      <c r="Y160" s="146"/>
      <c r="Z160" s="146"/>
      <c r="AA160" s="146"/>
      <c r="AB160" s="146"/>
      <c r="AC160" s="146"/>
      <c r="AD160" s="146"/>
      <c r="AE160" s="146"/>
      <c r="AF160" s="146"/>
      <c r="AG160" s="146"/>
      <c r="AH160" s="146"/>
      <c r="AI160" s="146"/>
      <c r="AJ160" s="146"/>
    </row>
    <row r="161" spans="1:36" ht="30" customHeight="1" x14ac:dyDescent="0.3">
      <c r="A161" s="145"/>
      <c r="B161" s="145"/>
      <c r="C161" s="145"/>
      <c r="D161" s="145"/>
      <c r="E161" s="145"/>
      <c r="F161" s="145"/>
      <c r="G161" s="145"/>
      <c r="H161" s="145"/>
      <c r="I161" s="145"/>
      <c r="J161" s="145"/>
      <c r="K161" s="145"/>
      <c r="L161" s="145"/>
      <c r="M161" s="145"/>
      <c r="N161" s="145"/>
      <c r="O161" s="146"/>
      <c r="P161" s="146"/>
      <c r="Q161" s="146"/>
      <c r="R161" s="146"/>
      <c r="S161" s="146"/>
      <c r="T161" s="146"/>
      <c r="U161" s="146"/>
      <c r="V161" s="146"/>
      <c r="W161" s="146"/>
      <c r="X161" s="146"/>
      <c r="Y161" s="146"/>
      <c r="Z161" s="146"/>
      <c r="AA161" s="146"/>
      <c r="AB161" s="146"/>
      <c r="AC161" s="146"/>
      <c r="AD161" s="146"/>
      <c r="AE161" s="146"/>
      <c r="AF161" s="146"/>
      <c r="AG161" s="146"/>
      <c r="AH161" s="146"/>
      <c r="AI161" s="146"/>
      <c r="AJ161" s="146"/>
    </row>
    <row r="162" spans="1:36" ht="30" customHeight="1" x14ac:dyDescent="0.3">
      <c r="A162" s="145"/>
      <c r="B162" s="145"/>
      <c r="C162" s="145"/>
      <c r="D162" s="145"/>
      <c r="E162" s="145"/>
      <c r="F162" s="145"/>
      <c r="G162" s="145"/>
      <c r="H162" s="145"/>
      <c r="I162" s="145"/>
      <c r="J162" s="145"/>
      <c r="K162" s="145"/>
      <c r="L162" s="145"/>
      <c r="M162" s="145"/>
      <c r="N162" s="145"/>
      <c r="O162" s="146"/>
      <c r="P162" s="146"/>
      <c r="Q162" s="146"/>
      <c r="R162" s="146"/>
      <c r="S162" s="146"/>
      <c r="T162" s="146"/>
      <c r="U162" s="146"/>
      <c r="V162" s="146"/>
      <c r="W162" s="146"/>
      <c r="X162" s="146"/>
      <c r="Y162" s="146"/>
      <c r="Z162" s="146"/>
      <c r="AA162" s="146"/>
      <c r="AB162" s="146"/>
      <c r="AC162" s="146"/>
      <c r="AD162" s="146"/>
      <c r="AE162" s="146"/>
      <c r="AF162" s="146"/>
      <c r="AG162" s="146"/>
      <c r="AH162" s="146"/>
      <c r="AI162" s="146"/>
      <c r="AJ162" s="146"/>
    </row>
    <row r="163" spans="1:36" ht="30" customHeight="1" x14ac:dyDescent="0.3">
      <c r="A163" s="145"/>
      <c r="B163" s="145"/>
      <c r="C163" s="145"/>
      <c r="D163" s="145"/>
      <c r="E163" s="145"/>
      <c r="F163" s="145"/>
      <c r="G163" s="145"/>
      <c r="H163" s="145"/>
      <c r="I163" s="145"/>
      <c r="J163" s="145"/>
      <c r="K163" s="145"/>
      <c r="L163" s="145"/>
      <c r="M163" s="145"/>
      <c r="N163" s="145"/>
      <c r="O163" s="146"/>
      <c r="P163" s="146"/>
      <c r="Q163" s="146"/>
      <c r="R163" s="146"/>
      <c r="S163" s="146"/>
      <c r="T163" s="146"/>
      <c r="U163" s="146"/>
      <c r="V163" s="146"/>
      <c r="W163" s="146"/>
      <c r="X163" s="146"/>
      <c r="Y163" s="146"/>
      <c r="Z163" s="146"/>
      <c r="AA163" s="146"/>
      <c r="AB163" s="146"/>
      <c r="AC163" s="146"/>
      <c r="AD163" s="146"/>
      <c r="AE163" s="146"/>
      <c r="AF163" s="146"/>
      <c r="AG163" s="146"/>
      <c r="AH163" s="146"/>
      <c r="AI163" s="146"/>
      <c r="AJ163" s="146"/>
    </row>
    <row r="164" spans="1:36" ht="30" customHeight="1" x14ac:dyDescent="0.3">
      <c r="A164" s="145"/>
      <c r="B164" s="145"/>
      <c r="C164" s="145"/>
      <c r="D164" s="145"/>
      <c r="E164" s="145"/>
      <c r="F164" s="145"/>
      <c r="G164" s="145"/>
      <c r="H164" s="145"/>
      <c r="I164" s="145"/>
      <c r="J164" s="145"/>
      <c r="K164" s="145"/>
      <c r="L164" s="145"/>
      <c r="M164" s="145"/>
      <c r="N164" s="145"/>
      <c r="O164" s="146"/>
      <c r="P164" s="146"/>
      <c r="Q164" s="146"/>
      <c r="R164" s="146"/>
      <c r="S164" s="146"/>
      <c r="T164" s="146"/>
      <c r="U164" s="146"/>
      <c r="V164" s="146"/>
      <c r="W164" s="146"/>
      <c r="X164" s="146"/>
      <c r="Y164" s="146"/>
      <c r="Z164" s="146"/>
      <c r="AA164" s="146"/>
      <c r="AB164" s="146"/>
      <c r="AC164" s="146"/>
      <c r="AD164" s="146"/>
      <c r="AE164" s="146"/>
      <c r="AF164" s="146"/>
      <c r="AG164" s="146"/>
      <c r="AH164" s="146"/>
      <c r="AI164" s="146"/>
      <c r="AJ164" s="146"/>
    </row>
    <row r="165" spans="1:36" ht="30" customHeight="1" x14ac:dyDescent="0.3">
      <c r="A165" s="145"/>
      <c r="B165" s="145"/>
      <c r="C165" s="145"/>
      <c r="D165" s="145"/>
      <c r="E165" s="145"/>
      <c r="F165" s="145"/>
      <c r="G165" s="145"/>
      <c r="H165" s="145"/>
      <c r="I165" s="145"/>
      <c r="J165" s="145"/>
      <c r="K165" s="145"/>
      <c r="L165" s="145"/>
      <c r="M165" s="145"/>
      <c r="N165" s="145"/>
      <c r="O165" s="146"/>
      <c r="P165" s="146"/>
      <c r="Q165" s="146"/>
      <c r="R165" s="146"/>
      <c r="S165" s="146"/>
      <c r="T165" s="146"/>
      <c r="U165" s="146"/>
      <c r="V165" s="146"/>
      <c r="W165" s="146"/>
      <c r="X165" s="146"/>
      <c r="Y165" s="146"/>
      <c r="Z165" s="146"/>
      <c r="AA165" s="146"/>
      <c r="AB165" s="146"/>
      <c r="AC165" s="146"/>
      <c r="AD165" s="146"/>
      <c r="AE165" s="146"/>
      <c r="AF165" s="146"/>
      <c r="AG165" s="146"/>
      <c r="AH165" s="146"/>
      <c r="AI165" s="146"/>
      <c r="AJ165" s="146"/>
    </row>
    <row r="166" spans="1:36" ht="30" customHeight="1" x14ac:dyDescent="0.3">
      <c r="A166" s="145"/>
      <c r="B166" s="145"/>
      <c r="C166" s="145"/>
      <c r="D166" s="145"/>
      <c r="E166" s="145"/>
      <c r="F166" s="145"/>
      <c r="G166" s="145"/>
      <c r="H166" s="145"/>
      <c r="I166" s="145"/>
      <c r="J166" s="145"/>
      <c r="K166" s="145"/>
      <c r="L166" s="145"/>
      <c r="M166" s="145"/>
      <c r="N166" s="145"/>
      <c r="O166" s="146"/>
      <c r="P166" s="146"/>
      <c r="Q166" s="146"/>
      <c r="R166" s="146"/>
      <c r="S166" s="146"/>
      <c r="T166" s="146"/>
      <c r="U166" s="146"/>
      <c r="V166" s="146"/>
      <c r="W166" s="146"/>
      <c r="X166" s="146"/>
      <c r="Y166" s="146"/>
      <c r="Z166" s="146"/>
      <c r="AA166" s="146"/>
      <c r="AB166" s="146"/>
      <c r="AC166" s="146"/>
      <c r="AD166" s="146"/>
      <c r="AE166" s="146"/>
      <c r="AF166" s="146"/>
      <c r="AG166" s="146"/>
      <c r="AH166" s="146"/>
      <c r="AI166" s="146"/>
      <c r="AJ166" s="146"/>
    </row>
    <row r="167" spans="1:36" ht="20.25" customHeight="1" x14ac:dyDescent="0.3">
      <c r="A167" s="36"/>
      <c r="B167" s="36"/>
      <c r="C167" s="36"/>
      <c r="D167" s="36"/>
      <c r="E167" s="36"/>
      <c r="F167" s="36"/>
      <c r="G167" s="36"/>
      <c r="H167" s="36"/>
      <c r="I167" s="36"/>
      <c r="J167" s="36"/>
    </row>
    <row r="168" spans="1:36" ht="14.5" x14ac:dyDescent="0.35">
      <c r="A168" s="39" t="s">
        <v>96</v>
      </c>
      <c r="B168" s="36"/>
      <c r="C168" s="36"/>
      <c r="D168" s="36"/>
      <c r="E168" s="36"/>
      <c r="F168" s="36"/>
      <c r="G168" s="40"/>
      <c r="H168" s="40"/>
      <c r="I168" s="40"/>
      <c r="J168" s="40"/>
    </row>
    <row r="169" spans="1:36" x14ac:dyDescent="0.3">
      <c r="A169" s="129"/>
      <c r="B169" s="129"/>
      <c r="C169" s="129"/>
      <c r="D169" s="129"/>
      <c r="E169" s="129"/>
      <c r="F169" s="129"/>
      <c r="G169" s="129"/>
      <c r="H169" s="129"/>
      <c r="I169" s="129"/>
      <c r="J169" s="129"/>
      <c r="K169" s="129"/>
      <c r="L169" s="129"/>
      <c r="M169" s="129"/>
      <c r="N169" s="129"/>
      <c r="O169" s="129"/>
      <c r="P169" s="129"/>
      <c r="Q169" s="129"/>
      <c r="R169" s="129"/>
      <c r="S169" s="129"/>
      <c r="T169" s="129"/>
      <c r="U169" s="129"/>
      <c r="V169" s="129"/>
      <c r="W169" s="129"/>
      <c r="X169" s="129"/>
      <c r="Y169" s="129"/>
      <c r="Z169" s="129"/>
      <c r="AA169" s="129"/>
      <c r="AB169" s="129"/>
      <c r="AC169" s="129"/>
      <c r="AD169" s="129"/>
      <c r="AE169" s="129"/>
      <c r="AF169" s="129"/>
      <c r="AG169" s="129"/>
      <c r="AH169" s="129"/>
      <c r="AI169" s="129"/>
      <c r="AJ169" s="129"/>
    </row>
    <row r="170" spans="1:36" ht="24.75" customHeight="1" x14ac:dyDescent="0.3">
      <c r="A170" s="142" t="s">
        <v>97</v>
      </c>
      <c r="B170" s="128"/>
      <c r="C170" s="128"/>
      <c r="D170" s="128"/>
      <c r="E170" s="128"/>
      <c r="F170" s="128"/>
      <c r="G170" s="128"/>
      <c r="H170" s="128"/>
      <c r="I170" s="128"/>
      <c r="J170" s="128"/>
      <c r="K170" s="128"/>
      <c r="L170" s="128"/>
      <c r="M170" s="128"/>
      <c r="N170" s="128"/>
      <c r="O170" s="128"/>
      <c r="P170" s="128"/>
      <c r="Q170" s="128"/>
      <c r="R170" s="128"/>
      <c r="S170" s="128"/>
      <c r="T170" s="128"/>
      <c r="U170" s="128"/>
      <c r="V170" s="128"/>
      <c r="W170" s="128"/>
      <c r="X170" s="128"/>
      <c r="Y170" s="128"/>
      <c r="Z170" s="128"/>
      <c r="AA170" s="128"/>
      <c r="AB170" s="128"/>
      <c r="AC170" s="128"/>
      <c r="AD170" s="128"/>
      <c r="AE170" s="128"/>
      <c r="AF170" s="128"/>
      <c r="AG170" s="128"/>
      <c r="AH170" s="128"/>
      <c r="AI170" s="128"/>
      <c r="AJ170" s="128"/>
    </row>
    <row r="171" spans="1:36" x14ac:dyDescent="0.3">
      <c r="A171" s="141"/>
      <c r="B171" s="141"/>
      <c r="C171" s="141"/>
      <c r="D171" s="141"/>
      <c r="E171" s="141"/>
      <c r="F171" s="141"/>
      <c r="G171" s="141"/>
      <c r="H171" s="141"/>
      <c r="I171" s="141"/>
      <c r="J171" s="141"/>
      <c r="K171" s="141"/>
      <c r="L171" s="141"/>
      <c r="M171" s="141"/>
      <c r="N171" s="141"/>
      <c r="O171" s="141"/>
      <c r="P171" s="141"/>
      <c r="Q171" s="141"/>
      <c r="R171" s="141"/>
      <c r="S171" s="141"/>
      <c r="T171" s="141"/>
      <c r="U171" s="141"/>
      <c r="V171" s="141"/>
      <c r="W171" s="141"/>
      <c r="X171" s="141"/>
      <c r="Y171" s="141"/>
      <c r="Z171" s="141"/>
      <c r="AA171" s="141"/>
      <c r="AB171" s="141"/>
      <c r="AC171" s="141"/>
      <c r="AD171" s="141"/>
      <c r="AE171" s="141"/>
      <c r="AF171" s="141"/>
      <c r="AG171" s="141"/>
      <c r="AH171" s="141"/>
      <c r="AI171" s="141"/>
      <c r="AJ171" s="141"/>
    </row>
    <row r="172" spans="1:36" ht="11.25" customHeight="1" x14ac:dyDescent="0.3">
      <c r="A172" s="143" t="s">
        <v>98</v>
      </c>
      <c r="B172" s="144"/>
      <c r="C172" s="144"/>
      <c r="D172" s="144"/>
      <c r="E172" s="144"/>
      <c r="F172" s="144"/>
      <c r="G172" s="144"/>
      <c r="H172" s="144"/>
      <c r="I172" s="144"/>
      <c r="J172" s="144"/>
      <c r="K172" s="144"/>
      <c r="L172" s="144"/>
      <c r="M172" s="144"/>
      <c r="N172" s="144"/>
      <c r="O172" s="144"/>
      <c r="P172" s="144"/>
      <c r="Q172" s="144"/>
      <c r="R172" s="144"/>
      <c r="S172" s="144"/>
      <c r="T172" s="144"/>
      <c r="U172" s="144"/>
      <c r="V172" s="144"/>
      <c r="W172" s="144"/>
      <c r="X172" s="144"/>
      <c r="Y172" s="144"/>
      <c r="Z172" s="144"/>
      <c r="AA172" s="144"/>
      <c r="AB172" s="144"/>
      <c r="AC172" s="144"/>
      <c r="AD172" s="144"/>
      <c r="AE172" s="144"/>
      <c r="AF172" s="144"/>
      <c r="AG172" s="144"/>
      <c r="AH172" s="144"/>
      <c r="AI172" s="144"/>
      <c r="AJ172" s="144"/>
    </row>
    <row r="173" spans="1:36" x14ac:dyDescent="0.3">
      <c r="A173" s="141"/>
      <c r="B173" s="141"/>
      <c r="C173" s="141"/>
      <c r="D173" s="141"/>
      <c r="E173" s="141"/>
      <c r="F173" s="141"/>
      <c r="G173" s="141"/>
      <c r="H173" s="141"/>
      <c r="I173" s="141"/>
      <c r="J173" s="141"/>
      <c r="K173" s="141"/>
      <c r="L173" s="141"/>
      <c r="M173" s="141"/>
      <c r="N173" s="141"/>
      <c r="O173" s="141"/>
      <c r="P173" s="141"/>
      <c r="Q173" s="141"/>
      <c r="R173" s="141"/>
      <c r="S173" s="141"/>
      <c r="T173" s="141"/>
      <c r="U173" s="141"/>
      <c r="V173" s="141"/>
      <c r="W173" s="141"/>
      <c r="X173" s="141"/>
      <c r="Y173" s="141"/>
      <c r="Z173" s="141"/>
      <c r="AA173" s="141"/>
      <c r="AB173" s="141"/>
      <c r="AC173" s="141"/>
      <c r="AD173" s="141"/>
      <c r="AE173" s="141"/>
      <c r="AF173" s="141"/>
      <c r="AG173" s="141"/>
      <c r="AH173" s="141"/>
      <c r="AI173" s="141"/>
      <c r="AJ173" s="141"/>
    </row>
    <row r="174" spans="1:36" ht="23.25" customHeight="1" x14ac:dyDescent="0.3">
      <c r="A174" s="143" t="s">
        <v>99</v>
      </c>
      <c r="B174" s="144"/>
      <c r="C174" s="144"/>
      <c r="D174" s="144"/>
      <c r="E174" s="144"/>
      <c r="F174" s="144"/>
      <c r="G174" s="144"/>
      <c r="H174" s="144"/>
      <c r="I174" s="144"/>
      <c r="J174" s="144"/>
      <c r="K174" s="144"/>
      <c r="L174" s="144"/>
      <c r="M174" s="144"/>
      <c r="N174" s="144"/>
      <c r="O174" s="144"/>
      <c r="P174" s="144"/>
      <c r="Q174" s="144"/>
      <c r="R174" s="144"/>
      <c r="S174" s="144"/>
      <c r="T174" s="144"/>
      <c r="U174" s="144"/>
      <c r="V174" s="144"/>
      <c r="W174" s="144"/>
      <c r="X174" s="144"/>
      <c r="Y174" s="144"/>
      <c r="Z174" s="144"/>
      <c r="AA174" s="144"/>
      <c r="AB174" s="144"/>
      <c r="AC174" s="144"/>
      <c r="AD174" s="144"/>
      <c r="AE174" s="144"/>
      <c r="AF174" s="144"/>
      <c r="AG174" s="144"/>
      <c r="AH174" s="144"/>
      <c r="AI174" s="144"/>
      <c r="AJ174" s="144"/>
    </row>
    <row r="175" spans="1:36" x14ac:dyDescent="0.3">
      <c r="A175" s="41"/>
      <c r="B175" s="36"/>
      <c r="C175" s="36"/>
      <c r="D175" s="36"/>
      <c r="E175" s="36"/>
      <c r="F175" s="36"/>
      <c r="G175" s="36"/>
      <c r="H175" s="36"/>
      <c r="I175" s="36"/>
      <c r="J175" s="36"/>
    </row>
    <row r="176" spans="1:36" ht="14.5" x14ac:dyDescent="0.35">
      <c r="A176" s="39" t="s">
        <v>100</v>
      </c>
      <c r="B176" s="36"/>
      <c r="C176" s="36"/>
      <c r="D176" s="36"/>
      <c r="E176" s="36"/>
      <c r="F176" s="36"/>
      <c r="G176" s="40"/>
      <c r="H176" s="40"/>
      <c r="I176" s="40"/>
      <c r="J176" s="40"/>
    </row>
    <row r="177" spans="1:36" x14ac:dyDescent="0.3">
      <c r="A177" s="141"/>
      <c r="B177" s="141"/>
      <c r="C177" s="141"/>
      <c r="D177" s="141"/>
      <c r="E177" s="141"/>
      <c r="F177" s="141"/>
      <c r="G177" s="141"/>
      <c r="H177" s="141"/>
      <c r="I177" s="141"/>
      <c r="J177" s="141"/>
      <c r="K177" s="141"/>
      <c r="L177" s="141"/>
      <c r="M177" s="141"/>
      <c r="N177" s="141"/>
      <c r="O177" s="141"/>
      <c r="P177" s="141"/>
      <c r="Q177" s="141"/>
      <c r="R177" s="141"/>
      <c r="S177" s="141"/>
      <c r="T177" s="141"/>
      <c r="U177" s="141"/>
      <c r="V177" s="141"/>
      <c r="W177" s="141"/>
      <c r="X177" s="141"/>
      <c r="Y177" s="141"/>
      <c r="Z177" s="141"/>
      <c r="AA177" s="141"/>
      <c r="AB177" s="141"/>
      <c r="AC177" s="141"/>
      <c r="AD177" s="141"/>
      <c r="AE177" s="141"/>
      <c r="AF177" s="141"/>
      <c r="AG177" s="141"/>
      <c r="AH177" s="141"/>
      <c r="AI177" s="141"/>
      <c r="AJ177" s="141"/>
    </row>
    <row r="178" spans="1:36" ht="12.75" customHeight="1" x14ac:dyDescent="0.3">
      <c r="A178" s="140" t="s">
        <v>101</v>
      </c>
      <c r="B178" s="140"/>
      <c r="C178" s="140"/>
      <c r="D178" s="140"/>
      <c r="E178" s="140"/>
      <c r="F178" s="140"/>
      <c r="G178" s="140"/>
      <c r="H178" s="140"/>
      <c r="I178" s="140"/>
      <c r="J178" s="140"/>
      <c r="K178" s="140"/>
      <c r="L178" s="140"/>
      <c r="M178" s="140"/>
      <c r="N178" s="140"/>
      <c r="O178" s="140"/>
      <c r="P178" s="140"/>
      <c r="Q178" s="140"/>
      <c r="R178" s="140"/>
      <c r="S178" s="140"/>
      <c r="T178" s="140"/>
      <c r="U178" s="140"/>
      <c r="V178" s="140"/>
      <c r="W178" s="140"/>
      <c r="X178" s="140"/>
      <c r="Y178" s="140"/>
      <c r="Z178" s="140"/>
      <c r="AA178" s="140"/>
      <c r="AB178" s="140"/>
      <c r="AC178" s="140"/>
      <c r="AD178" s="140"/>
      <c r="AE178" s="140"/>
      <c r="AF178" s="140"/>
      <c r="AG178" s="140"/>
      <c r="AH178" s="140"/>
      <c r="AI178" s="140"/>
      <c r="AJ178" s="140"/>
    </row>
    <row r="179" spans="1:36" x14ac:dyDescent="0.3">
      <c r="A179" s="141"/>
      <c r="B179" s="141"/>
      <c r="C179" s="141"/>
      <c r="D179" s="141"/>
      <c r="E179" s="141"/>
      <c r="F179" s="141"/>
      <c r="G179" s="141"/>
      <c r="H179" s="141"/>
      <c r="I179" s="141"/>
      <c r="J179" s="141"/>
      <c r="K179" s="141"/>
      <c r="L179" s="141"/>
      <c r="M179" s="141"/>
      <c r="N179" s="141"/>
      <c r="O179" s="141"/>
      <c r="P179" s="141"/>
      <c r="Q179" s="141"/>
      <c r="R179" s="141"/>
      <c r="S179" s="141"/>
      <c r="T179" s="141"/>
      <c r="U179" s="141"/>
      <c r="V179" s="141"/>
      <c r="W179" s="141"/>
      <c r="X179" s="141"/>
      <c r="Y179" s="141"/>
      <c r="Z179" s="141"/>
      <c r="AA179" s="141"/>
      <c r="AB179" s="141"/>
      <c r="AC179" s="141"/>
      <c r="AD179" s="141"/>
      <c r="AE179" s="141"/>
      <c r="AF179" s="141"/>
      <c r="AG179" s="141"/>
      <c r="AH179" s="141"/>
      <c r="AI179" s="141"/>
      <c r="AJ179" s="141"/>
    </row>
    <row r="180" spans="1:36" ht="10.5" customHeight="1" x14ac:dyDescent="0.3">
      <c r="A180" s="140" t="s">
        <v>102</v>
      </c>
      <c r="B180" s="140"/>
      <c r="C180" s="140"/>
      <c r="D180" s="140"/>
      <c r="E180" s="140"/>
      <c r="F180" s="140"/>
      <c r="G180" s="140"/>
      <c r="H180" s="140"/>
      <c r="I180" s="140"/>
      <c r="J180" s="140"/>
      <c r="K180" s="140"/>
      <c r="L180" s="140"/>
      <c r="M180" s="140"/>
      <c r="N180" s="140"/>
      <c r="O180" s="140"/>
      <c r="P180" s="140"/>
      <c r="Q180" s="140"/>
      <c r="R180" s="140"/>
      <c r="S180" s="140"/>
      <c r="T180" s="140"/>
      <c r="U180" s="140"/>
      <c r="V180" s="140"/>
      <c r="W180" s="140"/>
      <c r="X180" s="140"/>
      <c r="Y180" s="140"/>
      <c r="Z180" s="140"/>
      <c r="AA180" s="140"/>
      <c r="AB180" s="140"/>
      <c r="AC180" s="140"/>
      <c r="AD180" s="140"/>
      <c r="AE180" s="140"/>
      <c r="AF180" s="140"/>
      <c r="AG180" s="140"/>
      <c r="AH180" s="140"/>
      <c r="AI180" s="140"/>
      <c r="AJ180" s="140"/>
    </row>
    <row r="181" spans="1:36" ht="10.5" customHeight="1" x14ac:dyDescent="0.3">
      <c r="A181" s="42"/>
      <c r="B181" s="42"/>
      <c r="C181" s="42"/>
      <c r="D181" s="42"/>
      <c r="E181" s="42"/>
      <c r="F181" s="42"/>
      <c r="G181" s="42"/>
      <c r="H181" s="42"/>
      <c r="I181" s="42"/>
      <c r="J181" s="42"/>
    </row>
    <row r="182" spans="1:36" ht="15.75" customHeight="1" x14ac:dyDescent="0.3">
      <c r="A182" s="137" t="s">
        <v>103</v>
      </c>
      <c r="B182" s="137"/>
      <c r="C182" s="137"/>
      <c r="D182" s="137"/>
      <c r="E182" s="137"/>
      <c r="F182" s="137"/>
      <c r="G182" s="137"/>
      <c r="H182" s="137"/>
      <c r="I182" s="137"/>
      <c r="J182" s="137"/>
      <c r="K182" s="137"/>
      <c r="L182" s="137"/>
      <c r="M182" s="137"/>
      <c r="N182" s="137"/>
      <c r="O182" s="137"/>
      <c r="P182" s="137"/>
      <c r="Q182" s="137"/>
      <c r="R182" s="137"/>
      <c r="S182" s="137"/>
      <c r="T182" s="137"/>
      <c r="U182" s="137"/>
      <c r="V182" s="137"/>
      <c r="W182" s="137"/>
      <c r="X182" s="137"/>
      <c r="Y182" s="137"/>
      <c r="Z182" s="137"/>
      <c r="AA182" s="137"/>
      <c r="AB182" s="137"/>
      <c r="AC182" s="137"/>
      <c r="AD182" s="137"/>
      <c r="AE182" s="137"/>
      <c r="AF182" s="137"/>
      <c r="AG182" s="137"/>
      <c r="AH182" s="137"/>
      <c r="AI182" s="137"/>
      <c r="AJ182" s="137"/>
    </row>
    <row r="183" spans="1:36" x14ac:dyDescent="0.3">
      <c r="A183" s="36" t="s">
        <v>104</v>
      </c>
      <c r="B183" s="36"/>
      <c r="C183" s="43"/>
      <c r="D183" s="43"/>
      <c r="E183" s="43"/>
      <c r="F183" s="43"/>
      <c r="G183" s="43"/>
      <c r="H183" s="138"/>
      <c r="I183" s="138"/>
      <c r="J183" s="138"/>
      <c r="K183" s="138"/>
      <c r="L183" s="138"/>
      <c r="M183" s="138"/>
      <c r="N183" s="138"/>
      <c r="O183" s="138"/>
      <c r="P183" s="138"/>
      <c r="Q183" s="138"/>
      <c r="R183" s="138"/>
      <c r="S183" s="138"/>
      <c r="T183" s="138"/>
      <c r="U183" s="138"/>
      <c r="V183" s="138"/>
      <c r="W183" s="138"/>
      <c r="X183" s="138"/>
      <c r="Y183" s="138"/>
      <c r="Z183" s="138"/>
      <c r="AA183" s="138"/>
      <c r="AB183" s="138"/>
      <c r="AC183" s="138"/>
      <c r="AD183" s="138"/>
      <c r="AE183" s="138"/>
      <c r="AF183" s="138"/>
      <c r="AG183" s="138"/>
      <c r="AH183" s="138"/>
      <c r="AI183" s="138"/>
      <c r="AJ183" s="138"/>
    </row>
    <row r="184" spans="1:36" ht="10.5" customHeight="1" x14ac:dyDescent="0.3">
      <c r="A184" s="44" t="s">
        <v>105</v>
      </c>
      <c r="B184" s="36"/>
      <c r="C184" s="21"/>
      <c r="D184" s="21"/>
      <c r="E184" s="21"/>
      <c r="F184" s="21"/>
      <c r="G184" s="21"/>
      <c r="H184" s="128" t="s">
        <v>106</v>
      </c>
      <c r="I184" s="128"/>
      <c r="J184" s="128"/>
      <c r="K184" s="128"/>
      <c r="L184" s="128"/>
      <c r="M184" s="128"/>
      <c r="N184" s="128"/>
      <c r="O184" s="128"/>
      <c r="P184" s="128"/>
      <c r="Q184" s="128"/>
      <c r="R184" s="128"/>
      <c r="S184" s="128"/>
      <c r="T184" s="128"/>
      <c r="U184" s="128"/>
      <c r="V184" s="128"/>
      <c r="W184" s="128"/>
      <c r="X184" s="128"/>
      <c r="Y184" s="128"/>
      <c r="Z184" s="128"/>
      <c r="AA184" s="128"/>
      <c r="AB184" s="128"/>
      <c r="AC184" s="128"/>
      <c r="AD184" s="128"/>
      <c r="AE184" s="128"/>
      <c r="AF184" s="128"/>
      <c r="AG184" s="128"/>
      <c r="AH184" s="128"/>
      <c r="AI184" s="128"/>
      <c r="AJ184" s="128"/>
    </row>
    <row r="185" spans="1:36" ht="15" customHeight="1" x14ac:dyDescent="0.3">
      <c r="A185" s="137" t="s">
        <v>107</v>
      </c>
      <c r="B185" s="137"/>
      <c r="C185" s="137"/>
      <c r="D185" s="137"/>
      <c r="E185" s="137"/>
      <c r="F185" s="137"/>
      <c r="G185" s="137"/>
      <c r="H185" s="137"/>
      <c r="I185" s="137"/>
      <c r="J185" s="137"/>
      <c r="K185" s="137"/>
      <c r="L185" s="137"/>
      <c r="M185" s="137"/>
      <c r="N185" s="137"/>
      <c r="O185" s="137"/>
      <c r="P185" s="137"/>
      <c r="Q185" s="137"/>
      <c r="R185" s="137"/>
      <c r="S185" s="137"/>
      <c r="T185" s="137"/>
      <c r="U185" s="137"/>
      <c r="V185" s="137"/>
      <c r="W185" s="137"/>
      <c r="X185" s="137"/>
      <c r="Y185" s="137"/>
      <c r="Z185" s="137"/>
      <c r="AA185" s="137"/>
      <c r="AB185" s="137"/>
      <c r="AC185" s="137"/>
      <c r="AD185" s="137"/>
      <c r="AE185" s="137"/>
      <c r="AF185" s="137"/>
      <c r="AG185" s="137"/>
      <c r="AH185" s="137"/>
      <c r="AI185" s="137"/>
      <c r="AJ185" s="137"/>
    </row>
    <row r="186" spans="1:36" x14ac:dyDescent="0.3">
      <c r="A186" s="36" t="s">
        <v>104</v>
      </c>
      <c r="B186" s="36"/>
      <c r="C186" s="43"/>
      <c r="D186" s="43"/>
      <c r="E186" s="43"/>
      <c r="F186" s="43"/>
      <c r="G186" s="43"/>
      <c r="H186" s="138"/>
      <c r="I186" s="138"/>
      <c r="J186" s="138"/>
      <c r="K186" s="138"/>
      <c r="L186" s="138"/>
      <c r="M186" s="138"/>
      <c r="N186" s="138"/>
      <c r="O186" s="138"/>
      <c r="P186" s="138"/>
      <c r="Q186" s="138"/>
      <c r="R186" s="138"/>
      <c r="S186" s="138"/>
      <c r="T186" s="138"/>
      <c r="U186" s="138"/>
      <c r="V186" s="138"/>
      <c r="W186" s="138"/>
      <c r="X186" s="138"/>
      <c r="Y186" s="138"/>
      <c r="Z186" s="138"/>
      <c r="AA186" s="138"/>
      <c r="AB186" s="138"/>
      <c r="AC186" s="138"/>
      <c r="AD186" s="138"/>
      <c r="AE186" s="138"/>
      <c r="AF186" s="138"/>
      <c r="AG186" s="138"/>
      <c r="AH186" s="138"/>
      <c r="AI186" s="138"/>
      <c r="AJ186" s="138"/>
    </row>
    <row r="187" spans="1:36" ht="11.25" customHeight="1" x14ac:dyDescent="0.3">
      <c r="A187" s="36"/>
      <c r="B187" s="36"/>
      <c r="C187" s="21"/>
      <c r="D187" s="21"/>
      <c r="E187" s="21"/>
      <c r="F187" s="21"/>
      <c r="G187" s="21"/>
      <c r="H187" s="128" t="s">
        <v>106</v>
      </c>
      <c r="I187" s="128"/>
      <c r="J187" s="128"/>
      <c r="K187" s="128"/>
      <c r="L187" s="128"/>
      <c r="M187" s="128"/>
      <c r="N187" s="128"/>
      <c r="O187" s="128"/>
      <c r="P187" s="128"/>
      <c r="Q187" s="128"/>
      <c r="R187" s="128"/>
      <c r="S187" s="128"/>
      <c r="T187" s="128"/>
      <c r="U187" s="128"/>
      <c r="V187" s="128"/>
      <c r="W187" s="128"/>
      <c r="X187" s="128"/>
      <c r="Y187" s="128"/>
      <c r="Z187" s="128"/>
      <c r="AA187" s="128"/>
      <c r="AB187" s="128"/>
      <c r="AC187" s="128"/>
      <c r="AD187" s="128"/>
      <c r="AE187" s="128"/>
      <c r="AF187" s="128"/>
      <c r="AG187" s="128"/>
      <c r="AH187" s="128"/>
      <c r="AI187" s="128"/>
      <c r="AJ187" s="128"/>
    </row>
    <row r="188" spans="1:36" ht="11.25" customHeight="1" x14ac:dyDescent="0.3">
      <c r="A188" s="36"/>
      <c r="B188" s="36"/>
      <c r="C188" s="22"/>
      <c r="D188" s="22"/>
      <c r="E188" s="22"/>
      <c r="F188" s="22"/>
      <c r="G188" s="22"/>
      <c r="H188" s="22"/>
      <c r="I188" s="22"/>
      <c r="J188" s="22"/>
    </row>
    <row r="189" spans="1:36" ht="15.75" customHeight="1" x14ac:dyDescent="0.3">
      <c r="A189" s="36" t="s">
        <v>108</v>
      </c>
      <c r="B189" s="35"/>
      <c r="C189" s="35"/>
      <c r="D189" s="35"/>
      <c r="E189" s="35"/>
      <c r="F189" s="35"/>
      <c r="G189" s="35"/>
      <c r="H189" s="35"/>
      <c r="I189" s="35"/>
      <c r="J189" s="139"/>
      <c r="K189" s="139"/>
      <c r="L189" s="139"/>
      <c r="M189" s="25" t="s">
        <v>109</v>
      </c>
    </row>
    <row r="190" spans="1:36" ht="15.75" customHeight="1" x14ac:dyDescent="0.3">
      <c r="A190" s="36" t="s">
        <v>110</v>
      </c>
      <c r="B190" s="35"/>
      <c r="C190" s="35"/>
      <c r="D190" s="35"/>
      <c r="E190" s="35"/>
      <c r="F190" s="35"/>
      <c r="G190" s="35"/>
      <c r="H190" s="35"/>
      <c r="I190" s="35"/>
      <c r="J190" s="45"/>
      <c r="K190" s="45"/>
      <c r="L190" s="45"/>
    </row>
    <row r="191" spans="1:36" ht="15.75" customHeight="1" x14ac:dyDescent="0.3">
      <c r="A191" s="36" t="s">
        <v>111</v>
      </c>
      <c r="B191" s="35"/>
      <c r="C191" s="35"/>
      <c r="D191" s="35"/>
      <c r="E191" s="35"/>
      <c r="F191" s="35"/>
      <c r="G191" s="35"/>
      <c r="H191" s="35"/>
      <c r="I191" s="35"/>
      <c r="J191" s="45"/>
      <c r="K191" s="45"/>
      <c r="L191" s="45"/>
    </row>
    <row r="192" spans="1:36" ht="15.75" customHeight="1" x14ac:dyDescent="0.3">
      <c r="A192" s="36"/>
      <c r="B192" s="35"/>
      <c r="C192" s="35"/>
      <c r="D192" s="35"/>
      <c r="E192" s="35"/>
      <c r="F192" s="35"/>
      <c r="G192" s="35"/>
      <c r="H192" s="35"/>
      <c r="I192" s="35"/>
      <c r="J192" s="45"/>
      <c r="K192" s="45"/>
      <c r="L192" s="45"/>
    </row>
    <row r="193" spans="1:36" ht="15" customHeight="1" x14ac:dyDescent="0.35">
      <c r="A193" s="36" t="s">
        <v>112</v>
      </c>
      <c r="B193" s="46"/>
      <c r="C193" s="46"/>
      <c r="D193" s="46"/>
      <c r="E193" s="46"/>
      <c r="F193" s="46"/>
      <c r="G193" s="46"/>
      <c r="H193" s="46"/>
      <c r="I193" s="46"/>
      <c r="J193" s="46"/>
      <c r="V193" s="130"/>
      <c r="W193" s="130"/>
      <c r="X193" s="130"/>
      <c r="Y193" s="130"/>
      <c r="Z193" s="130"/>
      <c r="AA193" s="130"/>
      <c r="AB193" s="130"/>
      <c r="AC193" s="25" t="s">
        <v>113</v>
      </c>
      <c r="AE193" s="130"/>
      <c r="AF193" s="130"/>
      <c r="AG193" s="130"/>
      <c r="AH193" s="130"/>
      <c r="AI193" s="130"/>
      <c r="AJ193" s="130"/>
    </row>
    <row r="194" spans="1:36" ht="31.5" customHeight="1" x14ac:dyDescent="0.3">
      <c r="A194" s="137" t="s">
        <v>114</v>
      </c>
      <c r="B194" s="137"/>
      <c r="C194" s="137"/>
      <c r="D194" s="137"/>
      <c r="E194" s="137"/>
      <c r="F194" s="137"/>
      <c r="G194" s="137"/>
      <c r="H194" s="137"/>
      <c r="I194" s="137"/>
      <c r="J194" s="137"/>
      <c r="K194" s="137"/>
      <c r="L194" s="137"/>
      <c r="M194" s="137"/>
      <c r="N194" s="137"/>
      <c r="O194" s="137"/>
      <c r="P194" s="137"/>
      <c r="Q194" s="137"/>
      <c r="R194" s="137"/>
      <c r="S194" s="137"/>
      <c r="T194" s="137"/>
      <c r="U194" s="137"/>
      <c r="V194" s="137"/>
      <c r="W194" s="137"/>
      <c r="X194" s="137"/>
      <c r="Y194" s="137"/>
      <c r="Z194" s="137"/>
      <c r="AA194" s="137"/>
      <c r="AB194" s="137"/>
      <c r="AC194" s="137"/>
      <c r="AD194" s="137"/>
      <c r="AE194" s="137"/>
      <c r="AF194" s="137"/>
      <c r="AG194" s="137"/>
      <c r="AH194" s="137"/>
      <c r="AI194" s="137"/>
      <c r="AJ194" s="137"/>
    </row>
    <row r="195" spans="1:36" ht="12" customHeight="1" x14ac:dyDescent="0.3">
      <c r="A195" s="47"/>
      <c r="B195" s="47"/>
      <c r="C195" s="47"/>
      <c r="D195" s="47"/>
      <c r="E195" s="47"/>
      <c r="F195" s="47"/>
      <c r="G195" s="47"/>
      <c r="H195" s="47"/>
      <c r="I195" s="47"/>
      <c r="J195" s="47"/>
      <c r="K195" s="47"/>
      <c r="L195" s="47"/>
      <c r="M195" s="47"/>
      <c r="N195" s="47"/>
      <c r="O195" s="47"/>
      <c r="P195" s="47"/>
      <c r="Q195" s="47"/>
      <c r="R195" s="47"/>
      <c r="S195" s="47"/>
      <c r="T195" s="47"/>
      <c r="U195" s="47"/>
      <c r="V195" s="47"/>
      <c r="W195" s="47"/>
      <c r="X195" s="47"/>
      <c r="Y195" s="47"/>
      <c r="Z195" s="47"/>
      <c r="AA195" s="47"/>
      <c r="AB195" s="47"/>
      <c r="AC195" s="47"/>
      <c r="AD195" s="47"/>
      <c r="AE195" s="47"/>
      <c r="AF195" s="47"/>
      <c r="AG195" s="47"/>
      <c r="AH195" s="47"/>
      <c r="AI195" s="47"/>
      <c r="AJ195" s="47"/>
    </row>
    <row r="196" spans="1:36" ht="30" customHeight="1" x14ac:dyDescent="0.3">
      <c r="A196" s="129"/>
      <c r="B196" s="129"/>
      <c r="C196" s="129"/>
      <c r="D196" s="129"/>
      <c r="E196" s="129"/>
      <c r="F196" s="129"/>
      <c r="G196" s="129"/>
      <c r="H196" s="129"/>
      <c r="I196" s="36"/>
      <c r="J196" s="129"/>
      <c r="K196" s="129"/>
      <c r="L196" s="129"/>
      <c r="M196" s="129"/>
      <c r="N196" s="129"/>
      <c r="O196" s="129"/>
      <c r="P196" s="129"/>
      <c r="Q196" s="129"/>
      <c r="R196" s="129"/>
      <c r="S196" s="129"/>
      <c r="T196" s="129"/>
      <c r="V196" s="130"/>
      <c r="W196" s="130"/>
      <c r="X196" s="130"/>
      <c r="Y196" s="130"/>
      <c r="Z196" s="130"/>
      <c r="AA196" s="130"/>
      <c r="AB196" s="130"/>
      <c r="AC196" s="130"/>
      <c r="AD196" s="130"/>
      <c r="AE196" s="130"/>
      <c r="AF196" s="130"/>
      <c r="AG196" s="130"/>
      <c r="AH196" s="130"/>
      <c r="AI196" s="130"/>
      <c r="AJ196" s="130"/>
    </row>
    <row r="197" spans="1:36" ht="37.5" customHeight="1" x14ac:dyDescent="0.3">
      <c r="A197" s="131" t="s">
        <v>115</v>
      </c>
      <c r="B197" s="131"/>
      <c r="C197" s="131"/>
      <c r="D197" s="131"/>
      <c r="E197" s="131"/>
      <c r="F197" s="131"/>
      <c r="G197" s="131"/>
      <c r="H197" s="131"/>
      <c r="I197" s="48"/>
      <c r="J197" s="131" t="s">
        <v>116</v>
      </c>
      <c r="K197" s="131"/>
      <c r="L197" s="131"/>
      <c r="M197" s="131"/>
      <c r="N197" s="131"/>
      <c r="O197" s="131"/>
      <c r="P197" s="131"/>
      <c r="Q197" s="131"/>
      <c r="R197" s="131"/>
      <c r="S197" s="131"/>
      <c r="T197" s="131"/>
      <c r="V197" s="132" t="s">
        <v>117</v>
      </c>
      <c r="W197" s="132"/>
      <c r="X197" s="132"/>
      <c r="Y197" s="132"/>
      <c r="Z197" s="132"/>
      <c r="AA197" s="132"/>
      <c r="AB197" s="132"/>
      <c r="AC197" s="132"/>
      <c r="AD197" s="132"/>
      <c r="AE197" s="132"/>
      <c r="AF197" s="132"/>
      <c r="AG197" s="132"/>
      <c r="AH197" s="132"/>
      <c r="AI197" s="132"/>
      <c r="AJ197" s="132"/>
    </row>
    <row r="198" spans="1:36" ht="15.5" x14ac:dyDescent="0.3">
      <c r="A198" s="133"/>
      <c r="B198" s="133"/>
      <c r="C198" s="133"/>
      <c r="D198" s="49"/>
      <c r="E198" s="36"/>
      <c r="F198" s="36"/>
      <c r="G198" s="36"/>
      <c r="H198" s="36"/>
      <c r="I198" s="36"/>
      <c r="J198" s="36"/>
    </row>
    <row r="199" spans="1:36" ht="24" customHeight="1" x14ac:dyDescent="0.3">
      <c r="A199" s="132"/>
      <c r="B199" s="132"/>
      <c r="C199" s="132"/>
      <c r="D199" s="49"/>
      <c r="E199" s="36"/>
      <c r="F199" s="134" t="s">
        <v>118</v>
      </c>
      <c r="G199" s="134"/>
      <c r="H199" s="134"/>
      <c r="I199" s="36"/>
      <c r="J199" s="36"/>
    </row>
    <row r="200" spans="1:36" x14ac:dyDescent="0.3">
      <c r="A200" s="36"/>
      <c r="B200" s="36"/>
      <c r="C200" s="36"/>
      <c r="D200" s="36"/>
      <c r="E200" s="135" t="s">
        <v>119</v>
      </c>
      <c r="F200" s="135"/>
      <c r="G200" s="135"/>
      <c r="H200" s="135"/>
      <c r="I200" s="135"/>
      <c r="J200" s="36"/>
    </row>
    <row r="201" spans="1:36" x14ac:dyDescent="0.3">
      <c r="A201" s="36"/>
      <c r="B201" s="136" t="s">
        <v>120</v>
      </c>
      <c r="C201" s="136"/>
      <c r="D201" s="136"/>
      <c r="E201" s="136"/>
      <c r="F201" s="136"/>
      <c r="G201" s="136"/>
      <c r="H201" s="136"/>
      <c r="I201" s="136"/>
      <c r="J201" s="136"/>
      <c r="K201" s="136"/>
      <c r="L201" s="136"/>
    </row>
    <row r="202" spans="1:36" x14ac:dyDescent="0.3">
      <c r="A202" s="36"/>
      <c r="B202" s="136"/>
      <c r="C202" s="136"/>
      <c r="D202" s="136"/>
      <c r="E202" s="136"/>
      <c r="F202" s="136"/>
      <c r="G202" s="136"/>
      <c r="H202" s="136"/>
      <c r="I202" s="136"/>
      <c r="J202" s="136"/>
      <c r="K202" s="136"/>
      <c r="L202" s="136"/>
    </row>
    <row r="203" spans="1:36" x14ac:dyDescent="0.3">
      <c r="A203" s="36"/>
      <c r="B203" s="136"/>
      <c r="C203" s="136"/>
      <c r="D203" s="136"/>
      <c r="E203" s="136"/>
      <c r="F203" s="136"/>
      <c r="G203" s="136"/>
      <c r="H203" s="136"/>
      <c r="I203" s="136"/>
      <c r="J203" s="136"/>
      <c r="K203" s="136"/>
      <c r="L203" s="136"/>
    </row>
    <row r="204" spans="1:36" x14ac:dyDescent="0.3">
      <c r="A204" s="36"/>
      <c r="B204" s="136"/>
      <c r="C204" s="136"/>
      <c r="D204" s="136"/>
      <c r="E204" s="136"/>
      <c r="F204" s="136"/>
      <c r="G204" s="136"/>
      <c r="H204" s="136"/>
      <c r="I204" s="136"/>
      <c r="J204" s="136"/>
      <c r="K204" s="136"/>
      <c r="L204" s="136"/>
    </row>
    <row r="205" spans="1:36" x14ac:dyDescent="0.3">
      <c r="A205" s="36"/>
      <c r="B205" s="136"/>
      <c r="C205" s="136"/>
      <c r="D205" s="136"/>
      <c r="E205" s="136"/>
      <c r="F205" s="136"/>
      <c r="G205" s="136"/>
      <c r="H205" s="136"/>
      <c r="I205" s="136"/>
      <c r="J205" s="136"/>
      <c r="K205" s="136"/>
      <c r="L205" s="136"/>
    </row>
    <row r="206" spans="1:36" x14ac:dyDescent="0.3">
      <c r="A206" s="36"/>
      <c r="B206" s="36"/>
      <c r="C206" s="36"/>
      <c r="D206" s="36"/>
      <c r="E206" s="50"/>
      <c r="F206" s="50"/>
      <c r="G206" s="50"/>
      <c r="H206" s="50"/>
      <c r="I206" s="50"/>
      <c r="J206" s="36"/>
    </row>
    <row r="207" spans="1:36" x14ac:dyDescent="0.3">
      <c r="A207" s="36"/>
      <c r="B207" s="36"/>
      <c r="C207" s="36"/>
      <c r="D207" s="36"/>
      <c r="E207" s="36"/>
      <c r="F207" s="36"/>
      <c r="G207" s="36"/>
      <c r="H207" s="36"/>
      <c r="I207" s="36"/>
      <c r="J207" s="36"/>
    </row>
    <row r="208" spans="1:36" x14ac:dyDescent="0.3">
      <c r="A208" s="36" t="s">
        <v>121</v>
      </c>
      <c r="B208" s="36"/>
      <c r="C208" s="36"/>
      <c r="D208" s="36"/>
      <c r="E208" s="36"/>
      <c r="F208" s="36"/>
      <c r="G208" s="36"/>
      <c r="H208" s="36"/>
      <c r="I208" s="36"/>
      <c r="J208" s="36"/>
    </row>
    <row r="209" spans="1:36" x14ac:dyDescent="0.3">
      <c r="A209" s="129"/>
      <c r="B209" s="129"/>
      <c r="C209" s="129"/>
      <c r="D209" s="129"/>
      <c r="E209" s="129"/>
      <c r="F209" s="129"/>
      <c r="G209" s="129"/>
      <c r="H209" s="129"/>
      <c r="I209" s="129"/>
      <c r="J209" s="129"/>
      <c r="K209" s="129"/>
      <c r="L209" s="129"/>
      <c r="M209" s="129"/>
      <c r="N209" s="129"/>
      <c r="O209" s="129"/>
      <c r="P209" s="129"/>
      <c r="Q209" s="129"/>
      <c r="R209" s="129"/>
      <c r="S209" s="129"/>
      <c r="T209" s="129"/>
      <c r="U209" s="129"/>
      <c r="V209" s="129"/>
      <c r="W209" s="129"/>
      <c r="X209" s="129"/>
      <c r="Y209" s="129"/>
      <c r="Z209" s="129"/>
      <c r="AA209" s="129"/>
      <c r="AB209" s="129"/>
      <c r="AC209" s="129"/>
      <c r="AD209" s="129"/>
      <c r="AE209" s="129"/>
      <c r="AF209" s="129"/>
      <c r="AG209" s="129"/>
      <c r="AH209" s="129"/>
      <c r="AI209" s="129"/>
      <c r="AJ209" s="129"/>
    </row>
    <row r="210" spans="1:36" ht="9.75" customHeight="1" x14ac:dyDescent="0.3">
      <c r="A210" s="128" t="s">
        <v>122</v>
      </c>
      <c r="B210" s="128"/>
      <c r="C210" s="128"/>
      <c r="D210" s="128"/>
      <c r="E210" s="128"/>
      <c r="F210" s="128"/>
      <c r="G210" s="128"/>
      <c r="H210" s="128"/>
      <c r="I210" s="128"/>
      <c r="J210" s="128"/>
      <c r="K210" s="128"/>
      <c r="L210" s="128"/>
      <c r="M210" s="128"/>
      <c r="N210" s="128"/>
      <c r="O210" s="128"/>
      <c r="P210" s="128"/>
      <c r="Q210" s="128"/>
      <c r="R210" s="128"/>
      <c r="S210" s="128"/>
      <c r="T210" s="128"/>
      <c r="U210" s="128"/>
      <c r="V210" s="128"/>
      <c r="W210" s="128"/>
      <c r="X210" s="128"/>
      <c r="Y210" s="128"/>
      <c r="Z210" s="128"/>
      <c r="AA210" s="128"/>
      <c r="AB210" s="128"/>
      <c r="AC210" s="128"/>
      <c r="AD210" s="128"/>
      <c r="AE210" s="128"/>
      <c r="AF210" s="128"/>
      <c r="AG210" s="128"/>
      <c r="AH210" s="128"/>
      <c r="AI210" s="128"/>
      <c r="AJ210" s="128"/>
    </row>
    <row r="211" spans="1:36" x14ac:dyDescent="0.3">
      <c r="A211" s="36"/>
      <c r="B211" s="36"/>
      <c r="C211" s="36"/>
      <c r="D211" s="36"/>
      <c r="E211" s="36"/>
      <c r="F211" s="36"/>
      <c r="G211" s="36"/>
      <c r="H211" s="36"/>
      <c r="I211" s="36"/>
      <c r="J211" s="36"/>
    </row>
    <row r="212" spans="1:36" ht="24" customHeight="1" x14ac:dyDescent="0.3">
      <c r="A212" s="129"/>
      <c r="B212" s="129"/>
      <c r="C212" s="129"/>
      <c r="D212" s="129"/>
      <c r="E212" s="129"/>
      <c r="F212" s="129"/>
      <c r="G212" s="129"/>
      <c r="H212" s="129"/>
      <c r="I212" s="36"/>
      <c r="J212" s="129"/>
      <c r="K212" s="129"/>
      <c r="L212" s="129"/>
      <c r="M212" s="129"/>
      <c r="N212" s="129"/>
      <c r="O212" s="129"/>
      <c r="P212" s="129"/>
      <c r="Q212" s="129"/>
      <c r="R212" s="129"/>
      <c r="S212" s="129"/>
      <c r="T212" s="129"/>
      <c r="V212" s="130"/>
      <c r="W212" s="130"/>
      <c r="X212" s="130"/>
      <c r="Y212" s="130"/>
      <c r="Z212" s="130"/>
      <c r="AA212" s="130"/>
      <c r="AB212" s="130"/>
      <c r="AC212" s="130"/>
      <c r="AD212" s="130"/>
      <c r="AE212" s="130"/>
      <c r="AF212" s="130"/>
      <c r="AG212" s="130"/>
      <c r="AH212" s="130"/>
      <c r="AI212" s="130"/>
      <c r="AJ212" s="130"/>
    </row>
    <row r="213" spans="1:36" ht="14.25" customHeight="1" x14ac:dyDescent="0.3">
      <c r="A213" s="131" t="s">
        <v>115</v>
      </c>
      <c r="B213" s="131"/>
      <c r="C213" s="131"/>
      <c r="D213" s="131"/>
      <c r="E213" s="131"/>
      <c r="F213" s="131"/>
      <c r="G213" s="131"/>
      <c r="H213" s="131"/>
      <c r="I213" s="48"/>
      <c r="J213" s="131" t="s">
        <v>116</v>
      </c>
      <c r="K213" s="131"/>
      <c r="L213" s="131"/>
      <c r="M213" s="131"/>
      <c r="N213" s="131"/>
      <c r="O213" s="131"/>
      <c r="P213" s="131"/>
      <c r="Q213" s="131"/>
      <c r="R213" s="131"/>
      <c r="S213" s="131"/>
      <c r="T213" s="131"/>
      <c r="V213" s="132" t="s">
        <v>123</v>
      </c>
      <c r="W213" s="132"/>
      <c r="X213" s="132"/>
      <c r="Y213" s="132"/>
      <c r="Z213" s="132"/>
      <c r="AA213" s="132"/>
      <c r="AB213" s="132"/>
      <c r="AC213" s="132"/>
      <c r="AD213" s="132"/>
      <c r="AE213" s="132"/>
      <c r="AF213" s="132"/>
      <c r="AG213" s="132"/>
      <c r="AH213" s="132"/>
      <c r="AI213" s="132"/>
      <c r="AJ213" s="132"/>
    </row>
    <row r="214" spans="1:36" x14ac:dyDescent="0.3">
      <c r="A214" s="36"/>
      <c r="B214" s="36"/>
      <c r="C214" s="36"/>
      <c r="D214" s="36"/>
      <c r="E214" s="36"/>
      <c r="F214" s="36"/>
      <c r="G214" s="36"/>
      <c r="H214" s="36"/>
      <c r="I214" s="36"/>
      <c r="J214" s="36"/>
    </row>
    <row r="215" spans="1:36" x14ac:dyDescent="0.3">
      <c r="A215" s="36"/>
      <c r="B215" s="36"/>
      <c r="C215" s="36"/>
      <c r="D215" s="36"/>
      <c r="E215" s="36"/>
      <c r="F215" s="36"/>
      <c r="G215" s="36"/>
      <c r="H215" s="36"/>
      <c r="I215" s="36"/>
      <c r="J215" s="36"/>
      <c r="W215" s="51" t="s">
        <v>124</v>
      </c>
      <c r="X215" s="111"/>
      <c r="Y215" s="111"/>
      <c r="Z215" s="29" t="s">
        <v>124</v>
      </c>
      <c r="AA215" s="112"/>
      <c r="AB215" s="112"/>
      <c r="AC215" s="112"/>
      <c r="AD215" s="112"/>
      <c r="AE215" s="29"/>
      <c r="AF215" s="113"/>
      <c r="AG215" s="113"/>
      <c r="AH215" s="113"/>
      <c r="AI215" s="29" t="s">
        <v>125</v>
      </c>
    </row>
    <row r="216" spans="1:36" x14ac:dyDescent="0.3">
      <c r="A216" s="36"/>
      <c r="B216" s="36"/>
      <c r="C216" s="36"/>
      <c r="D216" s="36"/>
      <c r="E216" s="36"/>
      <c r="F216" s="36"/>
      <c r="G216" s="36"/>
      <c r="H216" s="36"/>
      <c r="I216" s="36"/>
      <c r="J216" s="36"/>
    </row>
    <row r="217" spans="1:36" ht="49.5" customHeight="1" x14ac:dyDescent="0.3">
      <c r="A217" s="114" t="s">
        <v>126</v>
      </c>
      <c r="B217" s="114"/>
      <c r="C217" s="114"/>
      <c r="D217" s="114"/>
      <c r="E217" s="114"/>
      <c r="F217" s="114"/>
      <c r="G217" s="114"/>
      <c r="H217" s="114"/>
      <c r="I217" s="114"/>
      <c r="J217" s="114"/>
      <c r="K217" s="114"/>
      <c r="L217" s="114"/>
      <c r="M217" s="114"/>
      <c r="N217" s="114"/>
      <c r="O217" s="114"/>
      <c r="P217" s="114"/>
      <c r="Q217" s="114"/>
      <c r="R217" s="114"/>
      <c r="S217" s="114"/>
      <c r="T217" s="114"/>
      <c r="U217" s="114"/>
      <c r="V217" s="114"/>
      <c r="W217" s="114"/>
      <c r="X217" s="114"/>
      <c r="Y217" s="114"/>
      <c r="Z217" s="114"/>
      <c r="AA217" s="114"/>
      <c r="AB217" s="114"/>
      <c r="AC217" s="114"/>
      <c r="AD217" s="114"/>
      <c r="AE217" s="114"/>
      <c r="AF217" s="114"/>
      <c r="AG217" s="114"/>
      <c r="AH217" s="114"/>
      <c r="AI217" s="114"/>
      <c r="AJ217" s="114"/>
    </row>
    <row r="218" spans="1:36" ht="95.25" customHeight="1" x14ac:dyDescent="0.3">
      <c r="A218" s="115" t="s">
        <v>127</v>
      </c>
      <c r="B218" s="107"/>
      <c r="C218" s="116" t="s">
        <v>128</v>
      </c>
      <c r="D218" s="117"/>
      <c r="E218" s="117"/>
      <c r="F218" s="118"/>
      <c r="G218" s="119" t="s">
        <v>129</v>
      </c>
      <c r="H218" s="120"/>
      <c r="I218" s="120"/>
      <c r="J218" s="120"/>
      <c r="K218" s="120"/>
      <c r="L218" s="120"/>
      <c r="M218" s="120"/>
      <c r="N218" s="120"/>
      <c r="O218" s="120"/>
      <c r="P218" s="120"/>
      <c r="Q218" s="120"/>
      <c r="R218" s="120"/>
      <c r="S218" s="120"/>
      <c r="T218" s="120"/>
      <c r="U218" s="121"/>
      <c r="V218" s="122" t="s">
        <v>130</v>
      </c>
      <c r="W218" s="123"/>
      <c r="X218" s="123"/>
      <c r="Y218" s="123"/>
      <c r="Z218" s="123"/>
      <c r="AA218" s="123"/>
      <c r="AB218" s="123"/>
      <c r="AC218" s="123"/>
      <c r="AD218" s="123"/>
      <c r="AE218" s="124"/>
      <c r="AF218" s="125" t="s">
        <v>66</v>
      </c>
      <c r="AG218" s="126"/>
      <c r="AH218" s="126"/>
      <c r="AI218" s="126"/>
      <c r="AJ218" s="127"/>
    </row>
    <row r="219" spans="1:36" ht="15" customHeight="1" x14ac:dyDescent="0.3">
      <c r="A219" s="106" t="s">
        <v>3</v>
      </c>
      <c r="B219" s="106"/>
      <c r="C219" s="107" t="s">
        <v>4</v>
      </c>
      <c r="D219" s="107"/>
      <c r="E219" s="107"/>
      <c r="F219" s="107"/>
      <c r="G219" s="106" t="s">
        <v>5</v>
      </c>
      <c r="H219" s="106"/>
      <c r="I219" s="106"/>
      <c r="J219" s="106"/>
      <c r="K219" s="106"/>
      <c r="L219" s="106"/>
      <c r="M219" s="106"/>
      <c r="N219" s="106"/>
      <c r="O219" s="106"/>
      <c r="P219" s="106"/>
      <c r="Q219" s="106"/>
      <c r="R219" s="106"/>
      <c r="S219" s="106"/>
      <c r="T219" s="106"/>
      <c r="U219" s="106"/>
      <c r="V219" s="108">
        <v>4</v>
      </c>
      <c r="W219" s="108"/>
      <c r="X219" s="108"/>
      <c r="Y219" s="108"/>
      <c r="Z219" s="108"/>
      <c r="AA219" s="108"/>
      <c r="AB219" s="108"/>
      <c r="AC219" s="108"/>
      <c r="AD219" s="108"/>
      <c r="AE219" s="108"/>
      <c r="AF219" s="109">
        <v>5</v>
      </c>
      <c r="AG219" s="109"/>
      <c r="AH219" s="109"/>
      <c r="AI219" s="109"/>
      <c r="AJ219" s="109"/>
    </row>
    <row r="220" spans="1:36" ht="31.5" customHeight="1" x14ac:dyDescent="0.3">
      <c r="A220" s="106"/>
      <c r="B220" s="106"/>
      <c r="C220" s="107"/>
      <c r="D220" s="107"/>
      <c r="E220" s="107"/>
      <c r="F220" s="107"/>
      <c r="G220" s="106"/>
      <c r="H220" s="106"/>
      <c r="I220" s="106"/>
      <c r="J220" s="106"/>
      <c r="K220" s="106"/>
      <c r="L220" s="106"/>
      <c r="M220" s="106"/>
      <c r="N220" s="106"/>
      <c r="O220" s="106"/>
      <c r="P220" s="106"/>
      <c r="Q220" s="106"/>
      <c r="R220" s="106"/>
      <c r="S220" s="106"/>
      <c r="T220" s="106"/>
      <c r="U220" s="106"/>
      <c r="V220" s="108"/>
      <c r="W220" s="108"/>
      <c r="X220" s="108"/>
      <c r="Y220" s="108"/>
      <c r="Z220" s="108"/>
      <c r="AA220" s="108"/>
      <c r="AB220" s="108"/>
      <c r="AC220" s="108"/>
      <c r="AD220" s="108"/>
      <c r="AE220" s="108"/>
      <c r="AF220" s="109"/>
      <c r="AG220" s="109"/>
      <c r="AH220" s="109"/>
      <c r="AI220" s="109"/>
      <c r="AJ220" s="109"/>
    </row>
    <row r="221" spans="1:36" ht="31.5" customHeight="1" x14ac:dyDescent="0.3">
      <c r="A221" s="106"/>
      <c r="B221" s="106"/>
      <c r="C221" s="107"/>
      <c r="D221" s="107"/>
      <c r="E221" s="107"/>
      <c r="F221" s="107"/>
      <c r="G221" s="106"/>
      <c r="H221" s="106"/>
      <c r="I221" s="106"/>
      <c r="J221" s="106"/>
      <c r="K221" s="106"/>
      <c r="L221" s="106"/>
      <c r="M221" s="106"/>
      <c r="N221" s="106"/>
      <c r="O221" s="106"/>
      <c r="P221" s="106"/>
      <c r="Q221" s="106"/>
      <c r="R221" s="106"/>
      <c r="S221" s="106"/>
      <c r="T221" s="106"/>
      <c r="U221" s="106"/>
      <c r="V221" s="108"/>
      <c r="W221" s="108"/>
      <c r="X221" s="108"/>
      <c r="Y221" s="108"/>
      <c r="Z221" s="108"/>
      <c r="AA221" s="108"/>
      <c r="AB221" s="108"/>
      <c r="AC221" s="108"/>
      <c r="AD221" s="108"/>
      <c r="AE221" s="108"/>
      <c r="AF221" s="109"/>
      <c r="AG221" s="109"/>
      <c r="AH221" s="109"/>
      <c r="AI221" s="109"/>
      <c r="AJ221" s="109"/>
    </row>
    <row r="222" spans="1:36" ht="31.5" customHeight="1" x14ac:dyDescent="0.3">
      <c r="A222" s="106"/>
      <c r="B222" s="106"/>
      <c r="C222" s="107"/>
      <c r="D222" s="107"/>
      <c r="E222" s="107"/>
      <c r="F222" s="107"/>
      <c r="G222" s="106"/>
      <c r="H222" s="106"/>
      <c r="I222" s="106"/>
      <c r="J222" s="106"/>
      <c r="K222" s="106"/>
      <c r="L222" s="106"/>
      <c r="M222" s="106"/>
      <c r="N222" s="106"/>
      <c r="O222" s="106"/>
      <c r="P222" s="106"/>
      <c r="Q222" s="106"/>
      <c r="R222" s="106"/>
      <c r="S222" s="106"/>
      <c r="T222" s="106"/>
      <c r="U222" s="106"/>
      <c r="V222" s="108"/>
      <c r="W222" s="108"/>
      <c r="X222" s="108"/>
      <c r="Y222" s="108"/>
      <c r="Z222" s="108"/>
      <c r="AA222" s="108"/>
      <c r="AB222" s="108"/>
      <c r="AC222" s="108"/>
      <c r="AD222" s="108"/>
      <c r="AE222" s="108"/>
      <c r="AF222" s="109"/>
      <c r="AG222" s="109"/>
      <c r="AH222" s="109"/>
      <c r="AI222" s="109"/>
      <c r="AJ222" s="109"/>
    </row>
    <row r="223" spans="1:36" ht="31.5" customHeight="1" x14ac:dyDescent="0.3">
      <c r="A223" s="106"/>
      <c r="B223" s="106"/>
      <c r="C223" s="107"/>
      <c r="D223" s="107"/>
      <c r="E223" s="107"/>
      <c r="F223" s="107"/>
      <c r="G223" s="106"/>
      <c r="H223" s="106"/>
      <c r="I223" s="106"/>
      <c r="J223" s="106"/>
      <c r="K223" s="106"/>
      <c r="L223" s="106"/>
      <c r="M223" s="106"/>
      <c r="N223" s="106"/>
      <c r="O223" s="106"/>
      <c r="P223" s="106"/>
      <c r="Q223" s="106"/>
      <c r="R223" s="106"/>
      <c r="S223" s="106"/>
      <c r="T223" s="106"/>
      <c r="U223" s="106"/>
      <c r="V223" s="108"/>
      <c r="W223" s="108"/>
      <c r="X223" s="108"/>
      <c r="Y223" s="108"/>
      <c r="Z223" s="108"/>
      <c r="AA223" s="108"/>
      <c r="AB223" s="108"/>
      <c r="AC223" s="108"/>
      <c r="AD223" s="108"/>
      <c r="AE223" s="108"/>
      <c r="AF223" s="109"/>
      <c r="AG223" s="109"/>
      <c r="AH223" s="109"/>
      <c r="AI223" s="109"/>
      <c r="AJ223" s="109"/>
    </row>
    <row r="224" spans="1:36" ht="31.5" customHeight="1" x14ac:dyDescent="0.3">
      <c r="A224" s="106"/>
      <c r="B224" s="106"/>
      <c r="C224" s="107"/>
      <c r="D224" s="107"/>
      <c r="E224" s="107"/>
      <c r="F224" s="107"/>
      <c r="G224" s="106"/>
      <c r="H224" s="106"/>
      <c r="I224" s="106"/>
      <c r="J224" s="106"/>
      <c r="K224" s="106"/>
      <c r="L224" s="106"/>
      <c r="M224" s="106"/>
      <c r="N224" s="106"/>
      <c r="O224" s="106"/>
      <c r="P224" s="106"/>
      <c r="Q224" s="106"/>
      <c r="R224" s="106"/>
      <c r="S224" s="106"/>
      <c r="T224" s="106"/>
      <c r="U224" s="106"/>
      <c r="V224" s="108"/>
      <c r="W224" s="108"/>
      <c r="X224" s="108"/>
      <c r="Y224" s="108"/>
      <c r="Z224" s="108"/>
      <c r="AA224" s="108"/>
      <c r="AB224" s="108"/>
      <c r="AC224" s="108"/>
      <c r="AD224" s="108"/>
      <c r="AE224" s="108"/>
      <c r="AF224" s="109"/>
      <c r="AG224" s="109"/>
      <c r="AH224" s="109"/>
      <c r="AI224" s="109"/>
      <c r="AJ224" s="109"/>
    </row>
    <row r="225" spans="1:36" ht="31.5" customHeight="1" x14ac:dyDescent="0.3">
      <c r="A225" s="106"/>
      <c r="B225" s="106"/>
      <c r="C225" s="107"/>
      <c r="D225" s="107"/>
      <c r="E225" s="107"/>
      <c r="F225" s="107"/>
      <c r="G225" s="106"/>
      <c r="H225" s="106"/>
      <c r="I225" s="106"/>
      <c r="J225" s="106"/>
      <c r="K225" s="106"/>
      <c r="L225" s="106"/>
      <c r="M225" s="106"/>
      <c r="N225" s="106"/>
      <c r="O225" s="106"/>
      <c r="P225" s="106"/>
      <c r="Q225" s="106"/>
      <c r="R225" s="106"/>
      <c r="S225" s="106"/>
      <c r="T225" s="106"/>
      <c r="U225" s="106"/>
      <c r="V225" s="108"/>
      <c r="W225" s="108"/>
      <c r="X225" s="108"/>
      <c r="Y225" s="108"/>
      <c r="Z225" s="108"/>
      <c r="AA225" s="108"/>
      <c r="AB225" s="108"/>
      <c r="AC225" s="108"/>
      <c r="AD225" s="108"/>
      <c r="AE225" s="108"/>
      <c r="AF225" s="109"/>
      <c r="AG225" s="109"/>
      <c r="AH225" s="109"/>
      <c r="AI225" s="109"/>
      <c r="AJ225" s="109"/>
    </row>
    <row r="226" spans="1:36" ht="31.5" customHeight="1" x14ac:dyDescent="0.3">
      <c r="A226" s="106"/>
      <c r="B226" s="106"/>
      <c r="C226" s="107"/>
      <c r="D226" s="107"/>
      <c r="E226" s="107"/>
      <c r="F226" s="107"/>
      <c r="G226" s="106"/>
      <c r="H226" s="106"/>
      <c r="I226" s="106"/>
      <c r="J226" s="106"/>
      <c r="K226" s="106"/>
      <c r="L226" s="106"/>
      <c r="M226" s="106"/>
      <c r="N226" s="106"/>
      <c r="O226" s="106"/>
      <c r="P226" s="106"/>
      <c r="Q226" s="106"/>
      <c r="R226" s="106"/>
      <c r="S226" s="106"/>
      <c r="T226" s="106"/>
      <c r="U226" s="106"/>
      <c r="V226" s="108"/>
      <c r="W226" s="108"/>
      <c r="X226" s="108"/>
      <c r="Y226" s="108"/>
      <c r="Z226" s="108"/>
      <c r="AA226" s="108"/>
      <c r="AB226" s="108"/>
      <c r="AC226" s="108"/>
      <c r="AD226" s="108"/>
      <c r="AE226" s="108"/>
      <c r="AF226" s="109"/>
      <c r="AG226" s="109"/>
      <c r="AH226" s="109"/>
      <c r="AI226" s="109"/>
      <c r="AJ226" s="109"/>
    </row>
    <row r="227" spans="1:36" ht="31.5" customHeight="1" x14ac:dyDescent="0.3">
      <c r="A227" s="106"/>
      <c r="B227" s="106"/>
      <c r="C227" s="107"/>
      <c r="D227" s="107"/>
      <c r="E227" s="107"/>
      <c r="F227" s="107"/>
      <c r="G227" s="106"/>
      <c r="H227" s="106"/>
      <c r="I227" s="106"/>
      <c r="J227" s="106"/>
      <c r="K227" s="106"/>
      <c r="L227" s="106"/>
      <c r="M227" s="106"/>
      <c r="N227" s="106"/>
      <c r="O227" s="106"/>
      <c r="P227" s="106"/>
      <c r="Q227" s="106"/>
      <c r="R227" s="106"/>
      <c r="S227" s="106"/>
      <c r="T227" s="106"/>
      <c r="U227" s="106"/>
      <c r="V227" s="108"/>
      <c r="W227" s="108"/>
      <c r="X227" s="108"/>
      <c r="Y227" s="108"/>
      <c r="Z227" s="108"/>
      <c r="AA227" s="108"/>
      <c r="AB227" s="108"/>
      <c r="AC227" s="108"/>
      <c r="AD227" s="108"/>
      <c r="AE227" s="108"/>
      <c r="AF227" s="109"/>
      <c r="AG227" s="109"/>
      <c r="AH227" s="109"/>
      <c r="AI227" s="109"/>
      <c r="AJ227" s="109"/>
    </row>
    <row r="228" spans="1:36" ht="31.5" customHeight="1" x14ac:dyDescent="0.3">
      <c r="A228" s="106"/>
      <c r="B228" s="106"/>
      <c r="C228" s="107"/>
      <c r="D228" s="107"/>
      <c r="E228" s="107"/>
      <c r="F228" s="107"/>
      <c r="G228" s="106"/>
      <c r="H228" s="106"/>
      <c r="I228" s="106"/>
      <c r="J228" s="106"/>
      <c r="K228" s="106"/>
      <c r="L228" s="106"/>
      <c r="M228" s="106"/>
      <c r="N228" s="106"/>
      <c r="O228" s="106"/>
      <c r="P228" s="106"/>
      <c r="Q228" s="106"/>
      <c r="R228" s="106"/>
      <c r="S228" s="106"/>
      <c r="T228" s="106"/>
      <c r="U228" s="106"/>
      <c r="V228" s="108"/>
      <c r="W228" s="108"/>
      <c r="X228" s="108"/>
      <c r="Y228" s="108"/>
      <c r="Z228" s="108"/>
      <c r="AA228" s="108"/>
      <c r="AB228" s="108"/>
      <c r="AC228" s="108"/>
      <c r="AD228" s="108"/>
      <c r="AE228" s="108"/>
      <c r="AF228" s="109"/>
      <c r="AG228" s="109"/>
      <c r="AH228" s="109"/>
      <c r="AI228" s="109"/>
      <c r="AJ228" s="109"/>
    </row>
    <row r="229" spans="1:36" ht="31.5" customHeight="1" x14ac:dyDescent="0.3">
      <c r="A229" s="106"/>
      <c r="B229" s="106"/>
      <c r="C229" s="107"/>
      <c r="D229" s="107"/>
      <c r="E229" s="107"/>
      <c r="F229" s="107"/>
      <c r="G229" s="106"/>
      <c r="H229" s="106"/>
      <c r="I229" s="106"/>
      <c r="J229" s="106"/>
      <c r="K229" s="106"/>
      <c r="L229" s="106"/>
      <c r="M229" s="106"/>
      <c r="N229" s="106"/>
      <c r="O229" s="106"/>
      <c r="P229" s="106"/>
      <c r="Q229" s="106"/>
      <c r="R229" s="106"/>
      <c r="S229" s="106"/>
      <c r="T229" s="106"/>
      <c r="U229" s="106"/>
      <c r="V229" s="108"/>
      <c r="W229" s="108"/>
      <c r="X229" s="108"/>
      <c r="Y229" s="108"/>
      <c r="Z229" s="108"/>
      <c r="AA229" s="108"/>
      <c r="AB229" s="108"/>
      <c r="AC229" s="108"/>
      <c r="AD229" s="108"/>
      <c r="AE229" s="108"/>
      <c r="AF229" s="109"/>
      <c r="AG229" s="109"/>
      <c r="AH229" s="109"/>
      <c r="AI229" s="109"/>
      <c r="AJ229" s="109"/>
    </row>
    <row r="230" spans="1:36" ht="31.5" customHeight="1" x14ac:dyDescent="0.3">
      <c r="A230" s="106"/>
      <c r="B230" s="106"/>
      <c r="C230" s="107"/>
      <c r="D230" s="107"/>
      <c r="E230" s="107"/>
      <c r="F230" s="107"/>
      <c r="G230" s="106"/>
      <c r="H230" s="106"/>
      <c r="I230" s="106"/>
      <c r="J230" s="106"/>
      <c r="K230" s="106"/>
      <c r="L230" s="106"/>
      <c r="M230" s="106"/>
      <c r="N230" s="106"/>
      <c r="O230" s="106"/>
      <c r="P230" s="106"/>
      <c r="Q230" s="106"/>
      <c r="R230" s="106"/>
      <c r="S230" s="106"/>
      <c r="T230" s="106"/>
      <c r="U230" s="106"/>
      <c r="V230" s="108"/>
      <c r="W230" s="108"/>
      <c r="X230" s="108"/>
      <c r="Y230" s="108"/>
      <c r="Z230" s="108"/>
      <c r="AA230" s="108"/>
      <c r="AB230" s="108"/>
      <c r="AC230" s="108"/>
      <c r="AD230" s="108"/>
      <c r="AE230" s="108"/>
      <c r="AF230" s="109"/>
      <c r="AG230" s="109"/>
      <c r="AH230" s="109"/>
      <c r="AI230" s="109"/>
      <c r="AJ230" s="109"/>
    </row>
    <row r="231" spans="1:36" ht="31.5" customHeight="1" x14ac:dyDescent="0.3">
      <c r="A231" s="106"/>
      <c r="B231" s="106"/>
      <c r="C231" s="107"/>
      <c r="D231" s="107"/>
      <c r="E231" s="107"/>
      <c r="F231" s="107"/>
      <c r="G231" s="106"/>
      <c r="H231" s="106"/>
      <c r="I231" s="106"/>
      <c r="J231" s="106"/>
      <c r="K231" s="106"/>
      <c r="L231" s="106"/>
      <c r="M231" s="106"/>
      <c r="N231" s="106"/>
      <c r="O231" s="106"/>
      <c r="P231" s="106"/>
      <c r="Q231" s="106"/>
      <c r="R231" s="106"/>
      <c r="S231" s="106"/>
      <c r="T231" s="106"/>
      <c r="U231" s="106"/>
      <c r="V231" s="108"/>
      <c r="W231" s="108"/>
      <c r="X231" s="108"/>
      <c r="Y231" s="108"/>
      <c r="Z231" s="108"/>
      <c r="AA231" s="108"/>
      <c r="AB231" s="108"/>
      <c r="AC231" s="108"/>
      <c r="AD231" s="108"/>
      <c r="AE231" s="108"/>
      <c r="AF231" s="109"/>
      <c r="AG231" s="109"/>
      <c r="AH231" s="109"/>
      <c r="AI231" s="109"/>
      <c r="AJ231" s="109"/>
    </row>
    <row r="232" spans="1:36" ht="31.5" customHeight="1" x14ac:dyDescent="0.3">
      <c r="A232" s="106"/>
      <c r="B232" s="106"/>
      <c r="C232" s="107"/>
      <c r="D232" s="107"/>
      <c r="E232" s="107"/>
      <c r="F232" s="107"/>
      <c r="G232" s="106"/>
      <c r="H232" s="106"/>
      <c r="I232" s="106"/>
      <c r="J232" s="106"/>
      <c r="K232" s="106"/>
      <c r="L232" s="106"/>
      <c r="M232" s="106"/>
      <c r="N232" s="106"/>
      <c r="O232" s="106"/>
      <c r="P232" s="106"/>
      <c r="Q232" s="106"/>
      <c r="R232" s="106"/>
      <c r="S232" s="106"/>
      <c r="T232" s="106"/>
      <c r="U232" s="106"/>
      <c r="V232" s="108"/>
      <c r="W232" s="108"/>
      <c r="X232" s="108"/>
      <c r="Y232" s="108"/>
      <c r="Z232" s="108"/>
      <c r="AA232" s="108"/>
      <c r="AB232" s="108"/>
      <c r="AC232" s="108"/>
      <c r="AD232" s="108"/>
      <c r="AE232" s="108"/>
      <c r="AF232" s="109"/>
      <c r="AG232" s="109"/>
      <c r="AH232" s="109"/>
      <c r="AI232" s="109"/>
      <c r="AJ232" s="109"/>
    </row>
    <row r="233" spans="1:36" ht="31.5" customHeight="1" x14ac:dyDescent="0.3">
      <c r="A233" s="106"/>
      <c r="B233" s="106"/>
      <c r="C233" s="107"/>
      <c r="D233" s="107"/>
      <c r="E233" s="107"/>
      <c r="F233" s="107"/>
      <c r="G233" s="106"/>
      <c r="H233" s="106"/>
      <c r="I233" s="106"/>
      <c r="J233" s="106"/>
      <c r="K233" s="106"/>
      <c r="L233" s="106"/>
      <c r="M233" s="106"/>
      <c r="N233" s="106"/>
      <c r="O233" s="106"/>
      <c r="P233" s="106"/>
      <c r="Q233" s="106"/>
      <c r="R233" s="106"/>
      <c r="S233" s="106"/>
      <c r="T233" s="106"/>
      <c r="U233" s="106"/>
      <c r="V233" s="108"/>
      <c r="W233" s="108"/>
      <c r="X233" s="108"/>
      <c r="Y233" s="108"/>
      <c r="Z233" s="108"/>
      <c r="AA233" s="108"/>
      <c r="AB233" s="108"/>
      <c r="AC233" s="108"/>
      <c r="AD233" s="108"/>
      <c r="AE233" s="108"/>
      <c r="AF233" s="109"/>
      <c r="AG233" s="109"/>
      <c r="AH233" s="109"/>
      <c r="AI233" s="109"/>
      <c r="AJ233" s="109"/>
    </row>
    <row r="234" spans="1:36" x14ac:dyDescent="0.3">
      <c r="A234" s="36"/>
      <c r="B234" s="36"/>
      <c r="C234" s="36"/>
      <c r="D234" s="36"/>
      <c r="E234" s="36"/>
      <c r="F234" s="36"/>
      <c r="G234" s="36"/>
      <c r="H234" s="36"/>
      <c r="I234" s="36"/>
      <c r="J234" s="36"/>
    </row>
    <row r="235" spans="1:36" x14ac:dyDescent="0.3">
      <c r="A235" s="36"/>
      <c r="B235" s="36"/>
      <c r="C235" s="36"/>
      <c r="D235" s="36"/>
      <c r="E235" s="36"/>
      <c r="F235" s="36"/>
      <c r="G235" s="36"/>
      <c r="H235" s="36"/>
      <c r="I235" s="36"/>
      <c r="J235" s="36"/>
    </row>
    <row r="236" spans="1:36" x14ac:dyDescent="0.3">
      <c r="A236" s="36"/>
      <c r="B236" s="36"/>
      <c r="C236" s="36"/>
      <c r="D236" s="36"/>
      <c r="E236" s="36"/>
      <c r="F236" s="36"/>
      <c r="G236" s="36"/>
      <c r="H236" s="36"/>
      <c r="I236" s="36"/>
      <c r="J236" s="36"/>
    </row>
    <row r="237" spans="1:36" x14ac:dyDescent="0.3">
      <c r="A237" s="36"/>
      <c r="B237" s="36"/>
      <c r="C237" s="36"/>
      <c r="D237" s="36"/>
      <c r="E237" s="36"/>
      <c r="F237" s="36"/>
      <c r="G237" s="36"/>
      <c r="H237" s="36"/>
      <c r="I237" s="36"/>
      <c r="J237" s="36"/>
    </row>
    <row r="238" spans="1:36" x14ac:dyDescent="0.3">
      <c r="A238" s="36"/>
      <c r="B238" s="36"/>
      <c r="C238" s="36"/>
      <c r="D238" s="36"/>
      <c r="E238" s="36"/>
      <c r="F238" s="36"/>
      <c r="G238" s="36"/>
      <c r="H238" s="36"/>
      <c r="I238" s="36"/>
      <c r="J238" s="36"/>
    </row>
    <row r="239" spans="1:36" x14ac:dyDescent="0.3">
      <c r="A239" s="36"/>
      <c r="B239" s="36"/>
      <c r="C239" s="36"/>
      <c r="D239" s="36"/>
      <c r="E239" s="36"/>
      <c r="F239" s="36"/>
      <c r="G239" s="36"/>
      <c r="H239" s="36"/>
      <c r="I239" s="36"/>
      <c r="J239" s="36"/>
    </row>
    <row r="240" spans="1:36" x14ac:dyDescent="0.3">
      <c r="A240" s="36"/>
      <c r="B240" s="36"/>
      <c r="C240" s="36"/>
      <c r="D240" s="36"/>
      <c r="E240" s="36"/>
      <c r="F240" s="36"/>
      <c r="G240" s="36"/>
      <c r="H240" s="36"/>
      <c r="I240" s="36"/>
      <c r="J240" s="36"/>
    </row>
    <row r="241" spans="1:10" x14ac:dyDescent="0.3">
      <c r="A241" s="36"/>
      <c r="B241" s="36"/>
      <c r="C241" s="36"/>
      <c r="D241" s="36"/>
      <c r="E241" s="36"/>
      <c r="F241" s="36"/>
      <c r="G241" s="36"/>
      <c r="H241" s="36"/>
      <c r="I241" s="36"/>
      <c r="J241" s="36"/>
    </row>
    <row r="242" spans="1:10" x14ac:dyDescent="0.3">
      <c r="A242" s="36"/>
      <c r="B242" s="36"/>
      <c r="C242" s="36"/>
      <c r="D242" s="36"/>
      <c r="E242" s="36"/>
      <c r="F242" s="36"/>
      <c r="G242" s="36"/>
      <c r="H242" s="36"/>
      <c r="I242" s="36"/>
      <c r="J242" s="36"/>
    </row>
    <row r="243" spans="1:10" x14ac:dyDescent="0.3">
      <c r="A243" s="36"/>
      <c r="B243" s="36"/>
      <c r="C243" s="36"/>
      <c r="D243" s="36"/>
      <c r="E243" s="36"/>
      <c r="F243" s="36"/>
      <c r="G243" s="36"/>
      <c r="H243" s="36"/>
      <c r="I243" s="36"/>
      <c r="J243" s="36"/>
    </row>
    <row r="244" spans="1:10" x14ac:dyDescent="0.3">
      <c r="A244" s="36"/>
      <c r="B244" s="36"/>
      <c r="C244" s="36"/>
      <c r="D244" s="36"/>
      <c r="E244" s="36"/>
      <c r="F244" s="36"/>
      <c r="G244" s="36"/>
      <c r="H244" s="36"/>
      <c r="I244" s="36"/>
      <c r="J244" s="36"/>
    </row>
    <row r="245" spans="1:10" x14ac:dyDescent="0.3">
      <c r="A245" s="36"/>
      <c r="B245" s="36"/>
      <c r="C245" s="36"/>
      <c r="D245" s="36"/>
      <c r="E245" s="36"/>
      <c r="F245" s="36"/>
      <c r="G245" s="36"/>
      <c r="H245" s="36"/>
      <c r="I245" s="36"/>
      <c r="J245" s="36"/>
    </row>
    <row r="246" spans="1:10" x14ac:dyDescent="0.3">
      <c r="A246" s="36"/>
      <c r="B246" s="36"/>
      <c r="C246" s="36"/>
      <c r="D246" s="36"/>
      <c r="E246" s="36"/>
      <c r="F246" s="36"/>
      <c r="G246" s="36"/>
      <c r="H246" s="36"/>
      <c r="I246" s="36"/>
      <c r="J246" s="36"/>
    </row>
    <row r="247" spans="1:10" x14ac:dyDescent="0.3">
      <c r="A247" s="36"/>
      <c r="B247" s="36"/>
      <c r="C247" s="36"/>
      <c r="D247" s="36"/>
      <c r="E247" s="36"/>
      <c r="F247" s="36"/>
      <c r="G247" s="36"/>
      <c r="H247" s="36"/>
      <c r="I247" s="36"/>
      <c r="J247" s="36"/>
    </row>
    <row r="248" spans="1:10" x14ac:dyDescent="0.3">
      <c r="A248" s="36"/>
      <c r="B248" s="36"/>
      <c r="C248" s="36"/>
      <c r="D248" s="36"/>
      <c r="E248" s="36"/>
      <c r="F248" s="36"/>
      <c r="G248" s="36"/>
      <c r="H248" s="36"/>
      <c r="I248" s="36"/>
      <c r="J248" s="36"/>
    </row>
    <row r="249" spans="1:10" x14ac:dyDescent="0.3">
      <c r="A249" s="36"/>
      <c r="B249" s="36"/>
      <c r="C249" s="36"/>
      <c r="D249" s="36"/>
      <c r="E249" s="36"/>
      <c r="F249" s="36"/>
      <c r="G249" s="36"/>
      <c r="H249" s="36"/>
      <c r="I249" s="36"/>
      <c r="J249" s="36"/>
    </row>
    <row r="250" spans="1:10" x14ac:dyDescent="0.3">
      <c r="A250" s="36"/>
      <c r="B250" s="36"/>
      <c r="C250" s="36"/>
      <c r="D250" s="36"/>
      <c r="E250" s="36"/>
      <c r="F250" s="36"/>
      <c r="G250" s="36"/>
      <c r="H250" s="36"/>
      <c r="I250" s="36"/>
      <c r="J250" s="36"/>
    </row>
    <row r="251" spans="1:10" x14ac:dyDescent="0.3">
      <c r="A251" s="36"/>
      <c r="B251" s="36"/>
      <c r="C251" s="36"/>
      <c r="D251" s="36"/>
      <c r="E251" s="36"/>
      <c r="F251" s="36"/>
      <c r="G251" s="36"/>
      <c r="H251" s="36"/>
      <c r="I251" s="36"/>
      <c r="J251" s="36"/>
    </row>
    <row r="252" spans="1:10" x14ac:dyDescent="0.3">
      <c r="A252" s="36"/>
      <c r="B252" s="36"/>
      <c r="C252" s="36"/>
      <c r="D252" s="36"/>
      <c r="E252" s="36"/>
      <c r="F252" s="36"/>
      <c r="G252" s="36"/>
      <c r="H252" s="36"/>
      <c r="I252" s="36"/>
      <c r="J252" s="36"/>
    </row>
    <row r="253" spans="1:10" x14ac:dyDescent="0.3">
      <c r="A253" s="36"/>
      <c r="B253" s="36"/>
      <c r="C253" s="36"/>
      <c r="D253" s="36"/>
      <c r="E253" s="36"/>
      <c r="F253" s="36"/>
      <c r="G253" s="36"/>
      <c r="H253" s="36"/>
      <c r="I253" s="36"/>
      <c r="J253" s="36"/>
    </row>
    <row r="254" spans="1:10" x14ac:dyDescent="0.3">
      <c r="A254" s="36"/>
      <c r="B254" s="36"/>
      <c r="C254" s="36"/>
      <c r="D254" s="36"/>
      <c r="E254" s="36"/>
      <c r="F254" s="36"/>
      <c r="G254" s="36"/>
      <c r="H254" s="36"/>
      <c r="I254" s="36"/>
      <c r="J254" s="36"/>
    </row>
    <row r="255" spans="1:10" x14ac:dyDescent="0.3">
      <c r="A255" s="36"/>
      <c r="B255" s="36"/>
      <c r="C255" s="36"/>
      <c r="D255" s="36"/>
      <c r="E255" s="36"/>
      <c r="F255" s="36"/>
      <c r="G255" s="36"/>
      <c r="H255" s="36"/>
      <c r="I255" s="36"/>
      <c r="J255" s="36"/>
    </row>
    <row r="256" spans="1:10" x14ac:dyDescent="0.3">
      <c r="A256" s="36"/>
      <c r="B256" s="36"/>
      <c r="C256" s="36"/>
      <c r="D256" s="36"/>
      <c r="E256" s="36"/>
      <c r="F256" s="36"/>
      <c r="G256" s="36"/>
      <c r="H256" s="36"/>
      <c r="I256" s="36"/>
      <c r="J256" s="36"/>
    </row>
    <row r="257" spans="1:10" x14ac:dyDescent="0.3">
      <c r="A257" s="36"/>
      <c r="B257" s="36"/>
      <c r="C257" s="36"/>
      <c r="D257" s="36"/>
      <c r="E257" s="36"/>
      <c r="F257" s="36"/>
      <c r="G257" s="36"/>
      <c r="H257" s="36"/>
      <c r="I257" s="36"/>
      <c r="J257" s="36"/>
    </row>
    <row r="258" spans="1:10" x14ac:dyDescent="0.3">
      <c r="A258" s="36"/>
      <c r="B258" s="36"/>
      <c r="C258" s="36"/>
      <c r="D258" s="36"/>
      <c r="E258" s="36"/>
      <c r="F258" s="36"/>
      <c r="G258" s="36"/>
      <c r="H258" s="36"/>
      <c r="I258" s="36"/>
      <c r="J258" s="36"/>
    </row>
    <row r="259" spans="1:10" x14ac:dyDescent="0.3">
      <c r="A259" s="36"/>
      <c r="B259" s="36"/>
      <c r="C259" s="36"/>
      <c r="D259" s="36"/>
      <c r="E259" s="36"/>
      <c r="F259" s="36"/>
      <c r="G259" s="36"/>
      <c r="H259" s="36"/>
      <c r="I259" s="36"/>
      <c r="J259" s="36"/>
    </row>
    <row r="260" spans="1:10" x14ac:dyDescent="0.3">
      <c r="A260" s="36"/>
      <c r="B260" s="36"/>
      <c r="C260" s="36"/>
      <c r="D260" s="36"/>
      <c r="E260" s="36"/>
      <c r="F260" s="36"/>
      <c r="G260" s="36"/>
      <c r="H260" s="36"/>
      <c r="I260" s="36"/>
      <c r="J260" s="36"/>
    </row>
    <row r="261" spans="1:10" x14ac:dyDescent="0.3">
      <c r="A261" s="36"/>
      <c r="B261" s="36"/>
      <c r="C261" s="36"/>
      <c r="D261" s="36"/>
      <c r="E261" s="36"/>
      <c r="F261" s="36"/>
      <c r="G261" s="36"/>
      <c r="H261" s="36"/>
      <c r="I261" s="36"/>
      <c r="J261" s="36"/>
    </row>
    <row r="262" spans="1:10" x14ac:dyDescent="0.3">
      <c r="A262" s="36"/>
      <c r="B262" s="36"/>
      <c r="C262" s="36"/>
      <c r="D262" s="36"/>
      <c r="E262" s="36"/>
      <c r="F262" s="36"/>
      <c r="G262" s="36"/>
      <c r="H262" s="36"/>
      <c r="I262" s="36"/>
      <c r="J262" s="36"/>
    </row>
    <row r="263" spans="1:10" x14ac:dyDescent="0.3">
      <c r="A263" s="36"/>
      <c r="B263" s="36"/>
      <c r="C263" s="36"/>
      <c r="D263" s="36"/>
      <c r="E263" s="36"/>
      <c r="F263" s="36"/>
      <c r="G263" s="36"/>
      <c r="H263" s="36"/>
      <c r="I263" s="36"/>
      <c r="J263" s="36"/>
    </row>
    <row r="264" spans="1:10" x14ac:dyDescent="0.3">
      <c r="A264" s="36"/>
      <c r="B264" s="36"/>
      <c r="C264" s="36"/>
      <c r="D264" s="36"/>
      <c r="E264" s="36"/>
      <c r="F264" s="36"/>
      <c r="G264" s="36"/>
      <c r="H264" s="36"/>
      <c r="I264" s="36"/>
      <c r="J264" s="36"/>
    </row>
    <row r="265" spans="1:10" x14ac:dyDescent="0.3">
      <c r="A265" s="36"/>
      <c r="B265" s="36"/>
      <c r="C265" s="36"/>
      <c r="D265" s="36"/>
      <c r="E265" s="36"/>
      <c r="F265" s="36"/>
      <c r="G265" s="36"/>
      <c r="H265" s="36"/>
      <c r="I265" s="36"/>
      <c r="J265" s="36"/>
    </row>
    <row r="266" spans="1:10" x14ac:dyDescent="0.3">
      <c r="A266" s="36"/>
      <c r="B266" s="36"/>
      <c r="C266" s="36"/>
      <c r="D266" s="36"/>
      <c r="E266" s="36"/>
      <c r="F266" s="36"/>
      <c r="G266" s="36"/>
      <c r="H266" s="36"/>
      <c r="I266" s="36"/>
      <c r="J266" s="36"/>
    </row>
    <row r="267" spans="1:10" x14ac:dyDescent="0.3">
      <c r="A267" s="36"/>
      <c r="B267" s="36"/>
      <c r="C267" s="36"/>
      <c r="D267" s="36"/>
      <c r="E267" s="36"/>
      <c r="F267" s="36"/>
      <c r="G267" s="36"/>
      <c r="H267" s="36"/>
      <c r="I267" s="36"/>
      <c r="J267" s="36"/>
    </row>
    <row r="268" spans="1:10" x14ac:dyDescent="0.3">
      <c r="A268" s="36"/>
      <c r="B268" s="36"/>
      <c r="C268" s="36"/>
      <c r="D268" s="36"/>
      <c r="E268" s="36"/>
      <c r="F268" s="36"/>
      <c r="G268" s="36"/>
      <c r="H268" s="36"/>
      <c r="I268" s="36"/>
      <c r="J268" s="36"/>
    </row>
    <row r="269" spans="1:10" x14ac:dyDescent="0.3">
      <c r="A269" s="36"/>
      <c r="B269" s="36"/>
      <c r="C269" s="36"/>
      <c r="D269" s="36"/>
      <c r="E269" s="36"/>
      <c r="F269" s="36"/>
      <c r="G269" s="36"/>
      <c r="H269" s="36"/>
      <c r="I269" s="36"/>
      <c r="J269" s="36"/>
    </row>
    <row r="270" spans="1:10" x14ac:dyDescent="0.3">
      <c r="A270" s="36"/>
      <c r="B270" s="36"/>
      <c r="C270" s="36"/>
      <c r="D270" s="36"/>
      <c r="E270" s="36"/>
      <c r="F270" s="36"/>
      <c r="G270" s="36"/>
      <c r="H270" s="36"/>
      <c r="I270" s="36"/>
      <c r="J270" s="36"/>
    </row>
    <row r="271" spans="1:10" x14ac:dyDescent="0.3">
      <c r="A271" s="36"/>
      <c r="B271" s="36"/>
      <c r="C271" s="36"/>
      <c r="D271" s="36"/>
      <c r="E271" s="36"/>
      <c r="F271" s="36"/>
      <c r="G271" s="36"/>
      <c r="H271" s="36"/>
      <c r="I271" s="36"/>
      <c r="J271" s="36"/>
    </row>
    <row r="272" spans="1:10" x14ac:dyDescent="0.3">
      <c r="A272" s="36"/>
      <c r="B272" s="36"/>
      <c r="C272" s="36"/>
      <c r="D272" s="36"/>
      <c r="E272" s="36"/>
      <c r="F272" s="36"/>
      <c r="G272" s="36"/>
      <c r="H272" s="36"/>
      <c r="I272" s="36"/>
      <c r="J272" s="36"/>
    </row>
    <row r="273" spans="1:10" x14ac:dyDescent="0.3">
      <c r="A273" s="36"/>
      <c r="B273" s="36"/>
      <c r="C273" s="36"/>
      <c r="D273" s="36"/>
      <c r="E273" s="36"/>
      <c r="F273" s="36"/>
      <c r="G273" s="36"/>
      <c r="H273" s="36"/>
      <c r="I273" s="36"/>
      <c r="J273" s="36"/>
    </row>
    <row r="274" spans="1:10" x14ac:dyDescent="0.3">
      <c r="A274" s="36"/>
      <c r="B274" s="36"/>
      <c r="C274" s="36"/>
      <c r="D274" s="36"/>
      <c r="E274" s="36"/>
      <c r="F274" s="36"/>
      <c r="G274" s="36"/>
      <c r="H274" s="36"/>
      <c r="I274" s="36"/>
      <c r="J274" s="36"/>
    </row>
    <row r="275" spans="1:10" x14ac:dyDescent="0.3">
      <c r="A275" s="36"/>
      <c r="B275" s="36"/>
      <c r="C275" s="36"/>
      <c r="D275" s="36"/>
      <c r="E275" s="36"/>
      <c r="F275" s="36"/>
      <c r="G275" s="36"/>
      <c r="H275" s="36"/>
      <c r="I275" s="36"/>
      <c r="J275" s="36"/>
    </row>
    <row r="276" spans="1:10" x14ac:dyDescent="0.3">
      <c r="A276" s="36"/>
      <c r="B276" s="36"/>
      <c r="C276" s="36"/>
      <c r="D276" s="36"/>
      <c r="E276" s="36"/>
      <c r="F276" s="36"/>
      <c r="G276" s="36"/>
      <c r="H276" s="36"/>
      <c r="I276" s="36"/>
      <c r="J276" s="36"/>
    </row>
    <row r="277" spans="1:10" x14ac:dyDescent="0.3">
      <c r="A277" s="36"/>
      <c r="B277" s="36"/>
      <c r="C277" s="36"/>
      <c r="D277" s="36"/>
      <c r="E277" s="36"/>
      <c r="F277" s="36"/>
      <c r="G277" s="36"/>
      <c r="H277" s="36"/>
      <c r="I277" s="36"/>
      <c r="J277" s="36"/>
    </row>
    <row r="278" spans="1:10" x14ac:dyDescent="0.3">
      <c r="A278" s="36"/>
      <c r="B278" s="36"/>
      <c r="C278" s="36"/>
      <c r="D278" s="36"/>
      <c r="E278" s="36"/>
      <c r="F278" s="36"/>
      <c r="G278" s="36"/>
      <c r="H278" s="36"/>
      <c r="I278" s="36"/>
      <c r="J278" s="36"/>
    </row>
    <row r="279" spans="1:10" x14ac:dyDescent="0.3">
      <c r="A279" s="36"/>
      <c r="B279" s="36"/>
      <c r="C279" s="36"/>
      <c r="D279" s="36"/>
      <c r="E279" s="36"/>
      <c r="F279" s="36"/>
      <c r="G279" s="36"/>
      <c r="H279" s="36"/>
      <c r="I279" s="36"/>
      <c r="J279" s="36"/>
    </row>
    <row r="280" spans="1:10" x14ac:dyDescent="0.3">
      <c r="A280" s="36"/>
      <c r="B280" s="36"/>
      <c r="C280" s="36"/>
      <c r="D280" s="36"/>
      <c r="E280" s="36"/>
      <c r="F280" s="36"/>
      <c r="G280" s="36"/>
      <c r="H280" s="36"/>
      <c r="I280" s="36"/>
      <c r="J280" s="36"/>
    </row>
    <row r="281" spans="1:10" x14ac:dyDescent="0.3">
      <c r="A281" s="36"/>
      <c r="B281" s="36"/>
      <c r="C281" s="36"/>
      <c r="D281" s="36"/>
      <c r="E281" s="36"/>
      <c r="F281" s="36"/>
      <c r="G281" s="36"/>
      <c r="H281" s="36"/>
      <c r="I281" s="36"/>
      <c r="J281" s="36"/>
    </row>
    <row r="282" spans="1:10" x14ac:dyDescent="0.3">
      <c r="A282" s="36"/>
      <c r="B282" s="36"/>
      <c r="C282" s="36"/>
      <c r="D282" s="36"/>
      <c r="E282" s="36"/>
      <c r="F282" s="36"/>
      <c r="G282" s="36"/>
      <c r="H282" s="36"/>
      <c r="I282" s="36"/>
      <c r="J282" s="36"/>
    </row>
    <row r="283" spans="1:10" x14ac:dyDescent="0.3">
      <c r="A283" s="36"/>
      <c r="B283" s="36"/>
      <c r="C283" s="36"/>
      <c r="D283" s="36"/>
      <c r="E283" s="36"/>
      <c r="F283" s="36"/>
      <c r="G283" s="36"/>
      <c r="H283" s="36"/>
      <c r="I283" s="36"/>
      <c r="J283" s="36"/>
    </row>
    <row r="284" spans="1:10" x14ac:dyDescent="0.3">
      <c r="A284" s="36"/>
      <c r="B284" s="36"/>
      <c r="C284" s="36"/>
      <c r="D284" s="36"/>
      <c r="E284" s="36"/>
      <c r="F284" s="36"/>
      <c r="G284" s="36"/>
      <c r="H284" s="36"/>
      <c r="I284" s="36"/>
      <c r="J284" s="36"/>
    </row>
    <row r="285" spans="1:10" x14ac:dyDescent="0.3">
      <c r="A285" s="36"/>
      <c r="B285" s="36"/>
      <c r="C285" s="36"/>
      <c r="D285" s="36"/>
      <c r="E285" s="36"/>
      <c r="F285" s="36"/>
      <c r="G285" s="36"/>
      <c r="H285" s="36"/>
      <c r="I285" s="36"/>
      <c r="J285" s="36"/>
    </row>
    <row r="286" spans="1:10" x14ac:dyDescent="0.3">
      <c r="A286" s="36"/>
      <c r="B286" s="36"/>
      <c r="C286" s="36"/>
      <c r="D286" s="36"/>
      <c r="E286" s="36"/>
      <c r="F286" s="36"/>
      <c r="G286" s="36"/>
      <c r="H286" s="36"/>
      <c r="I286" s="36"/>
      <c r="J286" s="36"/>
    </row>
    <row r="287" spans="1:10" x14ac:dyDescent="0.3">
      <c r="A287" s="36"/>
      <c r="B287" s="36"/>
      <c r="C287" s="36"/>
      <c r="D287" s="36"/>
      <c r="E287" s="36"/>
      <c r="F287" s="36"/>
      <c r="G287" s="36"/>
      <c r="H287" s="36"/>
      <c r="I287" s="36"/>
      <c r="J287" s="36"/>
    </row>
    <row r="288" spans="1:10" x14ac:dyDescent="0.3">
      <c r="A288" s="36"/>
      <c r="B288" s="36"/>
      <c r="C288" s="36"/>
      <c r="D288" s="36"/>
      <c r="E288" s="36"/>
      <c r="F288" s="36"/>
      <c r="G288" s="36"/>
      <c r="H288" s="36"/>
      <c r="I288" s="36"/>
      <c r="J288" s="36"/>
    </row>
    <row r="289" spans="1:10" x14ac:dyDescent="0.3">
      <c r="A289" s="36"/>
      <c r="B289" s="36"/>
      <c r="C289" s="36"/>
      <c r="D289" s="36"/>
      <c r="E289" s="36"/>
      <c r="F289" s="36"/>
      <c r="G289" s="36"/>
      <c r="H289" s="36"/>
      <c r="I289" s="36"/>
      <c r="J289" s="36"/>
    </row>
    <row r="290" spans="1:10" x14ac:dyDescent="0.3">
      <c r="A290" s="36"/>
      <c r="B290" s="36"/>
      <c r="C290" s="36"/>
      <c r="D290" s="36"/>
      <c r="E290" s="36"/>
      <c r="F290" s="36"/>
      <c r="G290" s="36"/>
      <c r="H290" s="36"/>
      <c r="I290" s="36"/>
      <c r="J290" s="36"/>
    </row>
    <row r="291" spans="1:10" x14ac:dyDescent="0.3">
      <c r="A291" s="36"/>
      <c r="B291" s="36"/>
      <c r="C291" s="36"/>
      <c r="D291" s="36"/>
      <c r="E291" s="36"/>
      <c r="F291" s="36"/>
      <c r="G291" s="36"/>
      <c r="H291" s="36"/>
      <c r="I291" s="36"/>
      <c r="J291" s="36"/>
    </row>
    <row r="292" spans="1:10" x14ac:dyDescent="0.3">
      <c r="A292" s="36"/>
      <c r="B292" s="36"/>
      <c r="C292" s="36"/>
      <c r="D292" s="36"/>
      <c r="E292" s="36"/>
      <c r="F292" s="36"/>
      <c r="G292" s="36"/>
      <c r="H292" s="36"/>
      <c r="I292" s="36"/>
      <c r="J292" s="36"/>
    </row>
    <row r="293" spans="1:10" x14ac:dyDescent="0.3">
      <c r="A293" s="36"/>
      <c r="B293" s="36"/>
      <c r="C293" s="36"/>
      <c r="D293" s="36"/>
      <c r="E293" s="36"/>
      <c r="F293" s="36"/>
      <c r="G293" s="36"/>
      <c r="H293" s="36"/>
      <c r="I293" s="36"/>
      <c r="J293" s="36"/>
    </row>
    <row r="294" spans="1:10" x14ac:dyDescent="0.3">
      <c r="A294" s="36"/>
      <c r="B294" s="36"/>
      <c r="C294" s="36"/>
      <c r="D294" s="36"/>
      <c r="E294" s="36"/>
      <c r="F294" s="36"/>
      <c r="G294" s="36"/>
      <c r="H294" s="36"/>
      <c r="I294" s="36"/>
      <c r="J294" s="36"/>
    </row>
    <row r="295" spans="1:10" x14ac:dyDescent="0.3">
      <c r="A295" s="36"/>
      <c r="B295" s="36"/>
      <c r="C295" s="36"/>
      <c r="D295" s="36"/>
      <c r="E295" s="36"/>
      <c r="F295" s="36"/>
      <c r="G295" s="36"/>
      <c r="H295" s="36"/>
      <c r="I295" s="36"/>
      <c r="J295" s="36"/>
    </row>
    <row r="296" spans="1:10" x14ac:dyDescent="0.3">
      <c r="A296" s="36"/>
      <c r="B296" s="36"/>
      <c r="C296" s="36"/>
      <c r="D296" s="36"/>
      <c r="E296" s="36"/>
      <c r="F296" s="36"/>
      <c r="G296" s="36"/>
      <c r="H296" s="36"/>
      <c r="I296" s="36"/>
      <c r="J296" s="36"/>
    </row>
    <row r="297" spans="1:10" x14ac:dyDescent="0.3">
      <c r="A297" s="36"/>
      <c r="B297" s="36"/>
      <c r="C297" s="36"/>
      <c r="D297" s="36"/>
      <c r="E297" s="36"/>
      <c r="F297" s="36"/>
      <c r="G297" s="36"/>
      <c r="H297" s="36"/>
      <c r="I297" s="36"/>
      <c r="J297" s="36"/>
    </row>
    <row r="298" spans="1:10" x14ac:dyDescent="0.3">
      <c r="A298" s="36"/>
      <c r="B298" s="36"/>
      <c r="C298" s="36"/>
      <c r="D298" s="36"/>
      <c r="E298" s="36"/>
      <c r="F298" s="36"/>
      <c r="G298" s="36"/>
      <c r="H298" s="36"/>
      <c r="I298" s="36"/>
      <c r="J298" s="36"/>
    </row>
    <row r="299" spans="1:10" x14ac:dyDescent="0.3">
      <c r="A299" s="36"/>
      <c r="B299" s="36"/>
      <c r="C299" s="36"/>
      <c r="D299" s="36"/>
      <c r="E299" s="36"/>
      <c r="F299" s="36"/>
      <c r="G299" s="36"/>
      <c r="H299" s="36"/>
      <c r="I299" s="36"/>
      <c r="J299" s="36"/>
    </row>
    <row r="300" spans="1:10" x14ac:dyDescent="0.3">
      <c r="A300" s="36"/>
      <c r="B300" s="36"/>
      <c r="C300" s="36"/>
      <c r="D300" s="36"/>
      <c r="E300" s="36"/>
      <c r="F300" s="36"/>
      <c r="G300" s="36"/>
      <c r="H300" s="36"/>
      <c r="I300" s="36"/>
      <c r="J300" s="36"/>
    </row>
    <row r="301" spans="1:10" x14ac:dyDescent="0.3">
      <c r="A301" s="36"/>
      <c r="B301" s="36"/>
      <c r="C301" s="36"/>
      <c r="D301" s="36"/>
      <c r="E301" s="36"/>
      <c r="F301" s="36"/>
      <c r="G301" s="36"/>
      <c r="H301" s="36"/>
      <c r="I301" s="36"/>
      <c r="J301" s="36"/>
    </row>
    <row r="302" spans="1:10" x14ac:dyDescent="0.3">
      <c r="A302" s="36"/>
      <c r="B302" s="36"/>
      <c r="C302" s="36"/>
      <c r="D302" s="36"/>
      <c r="E302" s="36"/>
      <c r="F302" s="36"/>
      <c r="G302" s="36"/>
      <c r="H302" s="36"/>
      <c r="I302" s="36"/>
      <c r="J302" s="36"/>
    </row>
    <row r="303" spans="1:10" x14ac:dyDescent="0.3">
      <c r="A303" s="36"/>
      <c r="B303" s="36"/>
      <c r="C303" s="36"/>
      <c r="D303" s="36"/>
      <c r="E303" s="36"/>
      <c r="F303" s="36"/>
      <c r="G303" s="36"/>
      <c r="H303" s="36"/>
      <c r="I303" s="36"/>
      <c r="J303" s="36"/>
    </row>
    <row r="304" spans="1:10" x14ac:dyDescent="0.3">
      <c r="A304" s="36"/>
      <c r="B304" s="36"/>
      <c r="C304" s="36"/>
      <c r="D304" s="36"/>
      <c r="E304" s="36"/>
      <c r="F304" s="36"/>
      <c r="G304" s="36"/>
      <c r="H304" s="36"/>
      <c r="I304" s="36"/>
      <c r="J304" s="36"/>
    </row>
    <row r="305" spans="1:10" x14ac:dyDescent="0.3">
      <c r="A305" s="36"/>
      <c r="B305" s="36"/>
      <c r="C305" s="36"/>
      <c r="D305" s="36"/>
      <c r="E305" s="36"/>
      <c r="F305" s="36"/>
      <c r="G305" s="36"/>
      <c r="H305" s="36"/>
      <c r="I305" s="36"/>
      <c r="J305" s="36"/>
    </row>
    <row r="306" spans="1:10" x14ac:dyDescent="0.3">
      <c r="A306" s="36"/>
      <c r="B306" s="36"/>
      <c r="C306" s="36"/>
      <c r="D306" s="36"/>
      <c r="E306" s="36"/>
      <c r="F306" s="36"/>
      <c r="G306" s="36"/>
      <c r="H306" s="36"/>
      <c r="I306" s="36"/>
      <c r="J306" s="36"/>
    </row>
    <row r="307" spans="1:10" x14ac:dyDescent="0.3">
      <c r="A307" s="36"/>
      <c r="B307" s="36"/>
      <c r="C307" s="36"/>
      <c r="D307" s="36"/>
      <c r="E307" s="36"/>
      <c r="F307" s="36"/>
      <c r="G307" s="36"/>
      <c r="H307" s="36"/>
      <c r="I307" s="36"/>
      <c r="J307" s="36"/>
    </row>
  </sheetData>
  <mergeCells count="644">
    <mergeCell ref="C7:AJ7"/>
    <mergeCell ref="A8:AJ8"/>
    <mergeCell ref="A9:AJ9"/>
    <mergeCell ref="A10:AJ10"/>
    <mergeCell ref="A13:AJ13"/>
    <mergeCell ref="A14:AJ14"/>
    <mergeCell ref="A1:AJ1"/>
    <mergeCell ref="A2:AJ2"/>
    <mergeCell ref="A3:AJ3"/>
    <mergeCell ref="Q4:U4"/>
    <mergeCell ref="A6:B6"/>
    <mergeCell ref="C6:AJ6"/>
    <mergeCell ref="A22:AJ22"/>
    <mergeCell ref="A23:B23"/>
    <mergeCell ref="C23:I23"/>
    <mergeCell ref="J23:N23"/>
    <mergeCell ref="O23:S23"/>
    <mergeCell ref="T23:AF23"/>
    <mergeCell ref="AG23:AJ23"/>
    <mergeCell ref="A15:AJ15"/>
    <mergeCell ref="A16:AJ16"/>
    <mergeCell ref="A17:AJ17"/>
    <mergeCell ref="A18:AJ18"/>
    <mergeCell ref="A19:AJ19"/>
    <mergeCell ref="A20:AJ20"/>
    <mergeCell ref="A25:B25"/>
    <mergeCell ref="C25:I25"/>
    <mergeCell ref="J25:N25"/>
    <mergeCell ref="O25:S25"/>
    <mergeCell ref="T25:AF25"/>
    <mergeCell ref="AG25:AJ25"/>
    <mergeCell ref="A24:B24"/>
    <mergeCell ref="C24:I24"/>
    <mergeCell ref="J24:N24"/>
    <mergeCell ref="O24:S24"/>
    <mergeCell ref="T24:AF24"/>
    <mergeCell ref="AG24:AJ24"/>
    <mergeCell ref="A28:B28"/>
    <mergeCell ref="C28:I28"/>
    <mergeCell ref="J28:N28"/>
    <mergeCell ref="O28:S28"/>
    <mergeCell ref="T28:AF28"/>
    <mergeCell ref="AG28:AJ28"/>
    <mergeCell ref="A26:B26"/>
    <mergeCell ref="C26:I26"/>
    <mergeCell ref="J26:N26"/>
    <mergeCell ref="O26:S26"/>
    <mergeCell ref="T26:AF26"/>
    <mergeCell ref="AG26:AJ26"/>
    <mergeCell ref="AG27:AJ27"/>
    <mergeCell ref="A31:AJ31"/>
    <mergeCell ref="A32:AJ32"/>
    <mergeCell ref="A33:AJ33"/>
    <mergeCell ref="A34:AJ34"/>
    <mergeCell ref="A36:AJ36"/>
    <mergeCell ref="A37:B37"/>
    <mergeCell ref="C37:I37"/>
    <mergeCell ref="J37:N37"/>
    <mergeCell ref="O37:S37"/>
    <mergeCell ref="T37:AF37"/>
    <mergeCell ref="A39:B39"/>
    <mergeCell ref="C39:I39"/>
    <mergeCell ref="J39:N39"/>
    <mergeCell ref="O39:S39"/>
    <mergeCell ref="T39:AF39"/>
    <mergeCell ref="AG39:AJ39"/>
    <mergeCell ref="AG37:AJ37"/>
    <mergeCell ref="A38:B38"/>
    <mergeCell ref="C38:I38"/>
    <mergeCell ref="J38:N38"/>
    <mergeCell ref="O38:S38"/>
    <mergeCell ref="T38:AF38"/>
    <mergeCell ref="AG38:AJ38"/>
    <mergeCell ref="A41:B41"/>
    <mergeCell ref="C41:I41"/>
    <mergeCell ref="J41:N41"/>
    <mergeCell ref="O41:S41"/>
    <mergeCell ref="T41:AF41"/>
    <mergeCell ref="AG41:AJ41"/>
    <mergeCell ref="A40:B40"/>
    <mergeCell ref="C40:I40"/>
    <mergeCell ref="J40:N40"/>
    <mergeCell ref="O40:S40"/>
    <mergeCell ref="T40:AF40"/>
    <mergeCell ref="AG40:AJ40"/>
    <mergeCell ref="A49:AJ49"/>
    <mergeCell ref="A51:AJ51"/>
    <mergeCell ref="A52:B52"/>
    <mergeCell ref="C52:N52"/>
    <mergeCell ref="O52:U52"/>
    <mergeCell ref="V52:AD52"/>
    <mergeCell ref="AE52:AJ52"/>
    <mergeCell ref="A43:AJ43"/>
    <mergeCell ref="A44:AJ44"/>
    <mergeCell ref="A45:AJ45"/>
    <mergeCell ref="A46:AJ46"/>
    <mergeCell ref="A47:AJ47"/>
    <mergeCell ref="A48:AJ48"/>
    <mergeCell ref="A53:B53"/>
    <mergeCell ref="C53:N53"/>
    <mergeCell ref="O53:U53"/>
    <mergeCell ref="V53:AD53"/>
    <mergeCell ref="AE53:AJ53"/>
    <mergeCell ref="A54:B54"/>
    <mergeCell ref="C54:N54"/>
    <mergeCell ref="O54:U54"/>
    <mergeCell ref="V54:AD54"/>
    <mergeCell ref="AE54:AJ54"/>
    <mergeCell ref="A55:B55"/>
    <mergeCell ref="C55:N55"/>
    <mergeCell ref="O55:U55"/>
    <mergeCell ref="V55:AD55"/>
    <mergeCell ref="AE55:AJ55"/>
    <mergeCell ref="A56:B56"/>
    <mergeCell ref="C56:N56"/>
    <mergeCell ref="O56:U56"/>
    <mergeCell ref="V56:AD56"/>
    <mergeCell ref="AE56:AJ56"/>
    <mergeCell ref="A60:AJ60"/>
    <mergeCell ref="A61:AJ61"/>
    <mergeCell ref="A62:AJ62"/>
    <mergeCell ref="A63:AJ63"/>
    <mergeCell ref="A66:AJ66"/>
    <mergeCell ref="A67:AJ67"/>
    <mergeCell ref="A57:B57"/>
    <mergeCell ref="C57:N57"/>
    <mergeCell ref="O57:U57"/>
    <mergeCell ref="V57:AD57"/>
    <mergeCell ref="AE57:AJ57"/>
    <mergeCell ref="A59:AJ59"/>
    <mergeCell ref="A68:AJ68"/>
    <mergeCell ref="A69:AJ69"/>
    <mergeCell ref="A70:AJ70"/>
    <mergeCell ref="A71:AJ71"/>
    <mergeCell ref="A73:AJ73"/>
    <mergeCell ref="A74:B74"/>
    <mergeCell ref="C74:I74"/>
    <mergeCell ref="J74:N74"/>
    <mergeCell ref="O74:S74"/>
    <mergeCell ref="T74:AF74"/>
    <mergeCell ref="A76:B76"/>
    <mergeCell ref="C76:I76"/>
    <mergeCell ref="J76:N76"/>
    <mergeCell ref="O76:S76"/>
    <mergeCell ref="T76:AF76"/>
    <mergeCell ref="AG76:AJ76"/>
    <mergeCell ref="AG74:AJ74"/>
    <mergeCell ref="A75:B75"/>
    <mergeCell ref="C75:I75"/>
    <mergeCell ref="J75:N75"/>
    <mergeCell ref="O75:S75"/>
    <mergeCell ref="T75:AF75"/>
    <mergeCell ref="AG75:AJ75"/>
    <mergeCell ref="A78:B78"/>
    <mergeCell ref="C78:I78"/>
    <mergeCell ref="J78:N78"/>
    <mergeCell ref="O78:S78"/>
    <mergeCell ref="T78:AF78"/>
    <mergeCell ref="AG78:AJ78"/>
    <mergeCell ref="A77:B77"/>
    <mergeCell ref="C77:I77"/>
    <mergeCell ref="J77:N77"/>
    <mergeCell ref="O77:S77"/>
    <mergeCell ref="T77:AF77"/>
    <mergeCell ref="AG77:AJ77"/>
    <mergeCell ref="A81:AJ81"/>
    <mergeCell ref="A82:AJ82"/>
    <mergeCell ref="A83:AJ83"/>
    <mergeCell ref="A86:AJ86"/>
    <mergeCell ref="A87:AJ87"/>
    <mergeCell ref="A88:AJ88"/>
    <mergeCell ref="A79:B79"/>
    <mergeCell ref="C79:I79"/>
    <mergeCell ref="J79:N79"/>
    <mergeCell ref="O79:S79"/>
    <mergeCell ref="T79:AF79"/>
    <mergeCell ref="AG79:AJ79"/>
    <mergeCell ref="A89:AJ89"/>
    <mergeCell ref="A90:AJ90"/>
    <mergeCell ref="A91:AJ91"/>
    <mergeCell ref="A93:AJ93"/>
    <mergeCell ref="A94:B94"/>
    <mergeCell ref="C94:I94"/>
    <mergeCell ref="J94:N94"/>
    <mergeCell ref="O94:S94"/>
    <mergeCell ref="T94:AF94"/>
    <mergeCell ref="AG94:AJ94"/>
    <mergeCell ref="A96:B96"/>
    <mergeCell ref="C96:I96"/>
    <mergeCell ref="J96:N96"/>
    <mergeCell ref="O96:S96"/>
    <mergeCell ref="T96:AF96"/>
    <mergeCell ref="AG96:AJ96"/>
    <mergeCell ref="A95:B95"/>
    <mergeCell ref="C95:I95"/>
    <mergeCell ref="J95:N95"/>
    <mergeCell ref="O95:S95"/>
    <mergeCell ref="T95:AF95"/>
    <mergeCell ref="AG95:AJ95"/>
    <mergeCell ref="A98:B98"/>
    <mergeCell ref="C98:I98"/>
    <mergeCell ref="J98:N98"/>
    <mergeCell ref="O98:S98"/>
    <mergeCell ref="T98:AF98"/>
    <mergeCell ref="AG98:AJ98"/>
    <mergeCell ref="A97:B97"/>
    <mergeCell ref="C97:I97"/>
    <mergeCell ref="J97:N97"/>
    <mergeCell ref="O97:S97"/>
    <mergeCell ref="T97:AF97"/>
    <mergeCell ref="AG97:AJ97"/>
    <mergeCell ref="A101:AJ101"/>
    <mergeCell ref="A102:B102"/>
    <mergeCell ref="C102:N102"/>
    <mergeCell ref="O102:U102"/>
    <mergeCell ref="V102:AD102"/>
    <mergeCell ref="AE102:AJ102"/>
    <mergeCell ref="A99:B99"/>
    <mergeCell ref="C99:I99"/>
    <mergeCell ref="J99:N99"/>
    <mergeCell ref="O99:S99"/>
    <mergeCell ref="T99:AF99"/>
    <mergeCell ref="AG99:AJ99"/>
    <mergeCell ref="A103:B103"/>
    <mergeCell ref="C103:N103"/>
    <mergeCell ref="O103:U103"/>
    <mergeCell ref="V103:AD103"/>
    <mergeCell ref="AE103:AJ103"/>
    <mergeCell ref="A104:B104"/>
    <mergeCell ref="C104:N104"/>
    <mergeCell ref="O104:U104"/>
    <mergeCell ref="V104:AD104"/>
    <mergeCell ref="AE104:AJ104"/>
    <mergeCell ref="A107:B107"/>
    <mergeCell ref="C107:N107"/>
    <mergeCell ref="O107:U107"/>
    <mergeCell ref="V107:AD107"/>
    <mergeCell ref="AE107:AJ107"/>
    <mergeCell ref="A109:AJ109"/>
    <mergeCell ref="A105:B105"/>
    <mergeCell ref="C105:N105"/>
    <mergeCell ref="O105:U105"/>
    <mergeCell ref="V105:AD105"/>
    <mergeCell ref="AE105:AJ105"/>
    <mergeCell ref="A106:B106"/>
    <mergeCell ref="C106:N106"/>
    <mergeCell ref="O106:U106"/>
    <mergeCell ref="V106:AD106"/>
    <mergeCell ref="AE106:AJ106"/>
    <mergeCell ref="A110:B110"/>
    <mergeCell ref="C110:N110"/>
    <mergeCell ref="O110:U110"/>
    <mergeCell ref="V110:AD110"/>
    <mergeCell ref="AE110:AJ110"/>
    <mergeCell ref="A111:B111"/>
    <mergeCell ref="C111:N111"/>
    <mergeCell ref="O111:U111"/>
    <mergeCell ref="V111:AD111"/>
    <mergeCell ref="AE111:AJ111"/>
    <mergeCell ref="A112:B112"/>
    <mergeCell ref="C112:N112"/>
    <mergeCell ref="O112:U112"/>
    <mergeCell ref="V112:AD112"/>
    <mergeCell ref="AE112:AJ112"/>
    <mergeCell ref="A113:B113"/>
    <mergeCell ref="C113:N113"/>
    <mergeCell ref="O113:U113"/>
    <mergeCell ref="V113:AD113"/>
    <mergeCell ref="AE113:AJ113"/>
    <mergeCell ref="A117:AJ117"/>
    <mergeCell ref="A118:B118"/>
    <mergeCell ref="C118:N118"/>
    <mergeCell ref="O118:U118"/>
    <mergeCell ref="V118:AD118"/>
    <mergeCell ref="AE118:AJ118"/>
    <mergeCell ref="A114:B114"/>
    <mergeCell ref="C114:N114"/>
    <mergeCell ref="O114:U114"/>
    <mergeCell ref="V114:AD114"/>
    <mergeCell ref="AE114:AJ114"/>
    <mergeCell ref="A115:B115"/>
    <mergeCell ref="C115:N115"/>
    <mergeCell ref="O115:U115"/>
    <mergeCell ref="V115:AD115"/>
    <mergeCell ref="AE115:AJ115"/>
    <mergeCell ref="A119:B119"/>
    <mergeCell ref="C119:N119"/>
    <mergeCell ref="O119:U119"/>
    <mergeCell ref="V119:AD119"/>
    <mergeCell ref="AE119:AJ119"/>
    <mergeCell ref="A120:B120"/>
    <mergeCell ref="C120:N120"/>
    <mergeCell ref="O120:U120"/>
    <mergeCell ref="V120:AD120"/>
    <mergeCell ref="AE120:AJ120"/>
    <mergeCell ref="A123:B123"/>
    <mergeCell ref="C123:N123"/>
    <mergeCell ref="O123:U123"/>
    <mergeCell ref="V123:AD123"/>
    <mergeCell ref="AE123:AJ123"/>
    <mergeCell ref="A125:AJ125"/>
    <mergeCell ref="A121:B121"/>
    <mergeCell ref="C121:N121"/>
    <mergeCell ref="O121:U121"/>
    <mergeCell ref="V121:AD121"/>
    <mergeCell ref="AE121:AJ121"/>
    <mergeCell ref="A122:B122"/>
    <mergeCell ref="C122:N122"/>
    <mergeCell ref="O122:U122"/>
    <mergeCell ref="V122:AD122"/>
    <mergeCell ref="AE122:AJ122"/>
    <mergeCell ref="A126:B126"/>
    <mergeCell ref="C126:N126"/>
    <mergeCell ref="O126:U126"/>
    <mergeCell ref="V126:AD126"/>
    <mergeCell ref="AE126:AJ126"/>
    <mergeCell ref="A127:B127"/>
    <mergeCell ref="C127:N127"/>
    <mergeCell ref="O127:U127"/>
    <mergeCell ref="V127:AD127"/>
    <mergeCell ref="AE127:AJ127"/>
    <mergeCell ref="A128:B128"/>
    <mergeCell ref="C128:N128"/>
    <mergeCell ref="O128:U128"/>
    <mergeCell ref="V128:AD128"/>
    <mergeCell ref="AE128:AJ128"/>
    <mergeCell ref="A129:B129"/>
    <mergeCell ref="C129:N129"/>
    <mergeCell ref="O129:U129"/>
    <mergeCell ref="V129:AD129"/>
    <mergeCell ref="AE129:AJ129"/>
    <mergeCell ref="A130:B130"/>
    <mergeCell ref="C130:N130"/>
    <mergeCell ref="O130:U130"/>
    <mergeCell ref="V130:AD130"/>
    <mergeCell ref="AE130:AJ130"/>
    <mergeCell ref="A131:B131"/>
    <mergeCell ref="C131:N131"/>
    <mergeCell ref="O131:U131"/>
    <mergeCell ref="V131:AD131"/>
    <mergeCell ref="AE131:AJ131"/>
    <mergeCell ref="A132:B132"/>
    <mergeCell ref="C132:N132"/>
    <mergeCell ref="O132:U132"/>
    <mergeCell ref="V132:AD132"/>
    <mergeCell ref="AE132:AJ132"/>
    <mergeCell ref="A133:B133"/>
    <mergeCell ref="C133:N133"/>
    <mergeCell ref="O133:U133"/>
    <mergeCell ref="V133:AD133"/>
    <mergeCell ref="AE133:AJ133"/>
    <mergeCell ref="A134:B134"/>
    <mergeCell ref="C134:N134"/>
    <mergeCell ref="O134:U134"/>
    <mergeCell ref="V134:AD134"/>
    <mergeCell ref="AE134:AJ134"/>
    <mergeCell ref="A135:B135"/>
    <mergeCell ref="C135:N135"/>
    <mergeCell ref="O135:U135"/>
    <mergeCell ref="V135:AD135"/>
    <mergeCell ref="AE135:AJ135"/>
    <mergeCell ref="A136:B136"/>
    <mergeCell ref="C136:N136"/>
    <mergeCell ref="O136:U136"/>
    <mergeCell ref="V136:AD136"/>
    <mergeCell ref="AE136:AJ136"/>
    <mergeCell ref="A137:B137"/>
    <mergeCell ref="C137:N137"/>
    <mergeCell ref="O137:U137"/>
    <mergeCell ref="V137:AD137"/>
    <mergeCell ref="AE137:AJ137"/>
    <mergeCell ref="A138:B138"/>
    <mergeCell ref="C138:N138"/>
    <mergeCell ref="O138:U138"/>
    <mergeCell ref="V138:AD138"/>
    <mergeCell ref="AE138:AJ138"/>
    <mergeCell ref="A139:B139"/>
    <mergeCell ref="C139:N139"/>
    <mergeCell ref="O139:U139"/>
    <mergeCell ref="V139:AD139"/>
    <mergeCell ref="AE139:AJ139"/>
    <mergeCell ref="A140:B140"/>
    <mergeCell ref="C140:N140"/>
    <mergeCell ref="O140:U140"/>
    <mergeCell ref="V140:AD140"/>
    <mergeCell ref="AE140:AJ140"/>
    <mergeCell ref="A141:B141"/>
    <mergeCell ref="C141:N141"/>
    <mergeCell ref="O141:U141"/>
    <mergeCell ref="V141:AD141"/>
    <mergeCell ref="AE141:AJ141"/>
    <mergeCell ref="A142:B142"/>
    <mergeCell ref="C142:N142"/>
    <mergeCell ref="O142:U142"/>
    <mergeCell ref="V142:AD142"/>
    <mergeCell ref="AE142:AJ142"/>
    <mergeCell ref="A143:B143"/>
    <mergeCell ref="C143:N143"/>
    <mergeCell ref="O143:U143"/>
    <mergeCell ref="V143:AD143"/>
    <mergeCell ref="AE143:AJ143"/>
    <mergeCell ref="A144:B144"/>
    <mergeCell ref="C144:N144"/>
    <mergeCell ref="O144:U144"/>
    <mergeCell ref="V144:AD144"/>
    <mergeCell ref="AE144:AJ144"/>
    <mergeCell ref="A145:B145"/>
    <mergeCell ref="C145:N145"/>
    <mergeCell ref="O145:U145"/>
    <mergeCell ref="V145:AD145"/>
    <mergeCell ref="AE145:AJ145"/>
    <mergeCell ref="A146:B146"/>
    <mergeCell ref="C146:N146"/>
    <mergeCell ref="O146:U146"/>
    <mergeCell ref="V146:AD146"/>
    <mergeCell ref="AE146:AJ146"/>
    <mergeCell ref="A147:B147"/>
    <mergeCell ref="C147:N147"/>
    <mergeCell ref="O147:U147"/>
    <mergeCell ref="V147:AD147"/>
    <mergeCell ref="AE147:AJ147"/>
    <mergeCell ref="A148:B148"/>
    <mergeCell ref="C148:N148"/>
    <mergeCell ref="O148:U148"/>
    <mergeCell ref="V148:AD148"/>
    <mergeCell ref="AE148:AJ148"/>
    <mergeCell ref="A149:B149"/>
    <mergeCell ref="C149:N149"/>
    <mergeCell ref="O149:U149"/>
    <mergeCell ref="V149:AD149"/>
    <mergeCell ref="AE149:AJ149"/>
    <mergeCell ref="A150:B150"/>
    <mergeCell ref="C150:N150"/>
    <mergeCell ref="O150:U150"/>
    <mergeCell ref="V150:AD150"/>
    <mergeCell ref="AE150:AJ150"/>
    <mergeCell ref="A151:B151"/>
    <mergeCell ref="C151:N151"/>
    <mergeCell ref="O151:U151"/>
    <mergeCell ref="V151:AD151"/>
    <mergeCell ref="AE151:AJ151"/>
    <mergeCell ref="A152:B152"/>
    <mergeCell ref="C152:N152"/>
    <mergeCell ref="O152:U152"/>
    <mergeCell ref="V152:AD152"/>
    <mergeCell ref="AE152:AJ152"/>
    <mergeCell ref="A153:B153"/>
    <mergeCell ref="C153:N153"/>
    <mergeCell ref="O153:U153"/>
    <mergeCell ref="V153:AD153"/>
    <mergeCell ref="AE153:AJ153"/>
    <mergeCell ref="A154:B154"/>
    <mergeCell ref="C154:N154"/>
    <mergeCell ref="O154:U154"/>
    <mergeCell ref="V154:AD154"/>
    <mergeCell ref="AE154:AJ154"/>
    <mergeCell ref="A155:B155"/>
    <mergeCell ref="C155:N155"/>
    <mergeCell ref="O155:U155"/>
    <mergeCell ref="V155:AD155"/>
    <mergeCell ref="AE155:AJ155"/>
    <mergeCell ref="A156:B156"/>
    <mergeCell ref="C156:N156"/>
    <mergeCell ref="O156:U156"/>
    <mergeCell ref="V156:AD156"/>
    <mergeCell ref="AE156:AJ156"/>
    <mergeCell ref="A157:B157"/>
    <mergeCell ref="C157:N157"/>
    <mergeCell ref="O157:U157"/>
    <mergeCell ref="V157:AD157"/>
    <mergeCell ref="AE157:AJ157"/>
    <mergeCell ref="A158:B158"/>
    <mergeCell ref="C158:N158"/>
    <mergeCell ref="O158:U158"/>
    <mergeCell ref="V158:AD158"/>
    <mergeCell ref="AE158:AJ158"/>
    <mergeCell ref="A159:B159"/>
    <mergeCell ref="C159:N159"/>
    <mergeCell ref="O159:U159"/>
    <mergeCell ref="V159:AD159"/>
    <mergeCell ref="AE159:AJ159"/>
    <mergeCell ref="A160:B160"/>
    <mergeCell ref="C160:N160"/>
    <mergeCell ref="O160:U160"/>
    <mergeCell ref="V160:AD160"/>
    <mergeCell ref="AE160:AJ160"/>
    <mergeCell ref="A161:B161"/>
    <mergeCell ref="C161:N161"/>
    <mergeCell ref="O161:U161"/>
    <mergeCell ref="V161:AD161"/>
    <mergeCell ref="AE161:AJ161"/>
    <mergeCell ref="A162:B162"/>
    <mergeCell ref="C162:N162"/>
    <mergeCell ref="O162:U162"/>
    <mergeCell ref="V162:AD162"/>
    <mergeCell ref="AE162:AJ162"/>
    <mergeCell ref="A163:B163"/>
    <mergeCell ref="C163:N163"/>
    <mergeCell ref="O163:U163"/>
    <mergeCell ref="V163:AD163"/>
    <mergeCell ref="AE163:AJ163"/>
    <mergeCell ref="A166:B166"/>
    <mergeCell ref="C166:N166"/>
    <mergeCell ref="O166:U166"/>
    <mergeCell ref="V166:AD166"/>
    <mergeCell ref="AE166:AJ166"/>
    <mergeCell ref="A169:AJ169"/>
    <mergeCell ref="A164:B164"/>
    <mergeCell ref="C164:N164"/>
    <mergeCell ref="O164:U164"/>
    <mergeCell ref="V164:AD164"/>
    <mergeCell ref="AE164:AJ164"/>
    <mergeCell ref="A165:B165"/>
    <mergeCell ref="C165:N165"/>
    <mergeCell ref="O165:U165"/>
    <mergeCell ref="V165:AD165"/>
    <mergeCell ref="AE165:AJ165"/>
    <mergeCell ref="A178:AJ178"/>
    <mergeCell ref="A179:AJ179"/>
    <mergeCell ref="A180:AJ180"/>
    <mergeCell ref="A182:AJ182"/>
    <mergeCell ref="H183:AJ183"/>
    <mergeCell ref="H184:AJ184"/>
    <mergeCell ref="A170:AJ170"/>
    <mergeCell ref="A171:AJ171"/>
    <mergeCell ref="A172:AJ172"/>
    <mergeCell ref="A173:AJ173"/>
    <mergeCell ref="A174:AJ174"/>
    <mergeCell ref="A177:AJ177"/>
    <mergeCell ref="A194:AJ194"/>
    <mergeCell ref="A196:H196"/>
    <mergeCell ref="J196:T196"/>
    <mergeCell ref="V196:AJ196"/>
    <mergeCell ref="A197:H197"/>
    <mergeCell ref="J197:T197"/>
    <mergeCell ref="V197:AJ197"/>
    <mergeCell ref="A185:AJ185"/>
    <mergeCell ref="H186:AJ186"/>
    <mergeCell ref="H187:AJ187"/>
    <mergeCell ref="J189:L189"/>
    <mergeCell ref="V193:AB193"/>
    <mergeCell ref="AE193:AJ193"/>
    <mergeCell ref="A210:AJ210"/>
    <mergeCell ref="A212:H212"/>
    <mergeCell ref="J212:T212"/>
    <mergeCell ref="V212:AJ212"/>
    <mergeCell ref="A213:H213"/>
    <mergeCell ref="J213:T213"/>
    <mergeCell ref="V213:AJ213"/>
    <mergeCell ref="A198:C198"/>
    <mergeCell ref="A199:C199"/>
    <mergeCell ref="F199:H199"/>
    <mergeCell ref="E200:I200"/>
    <mergeCell ref="B201:L205"/>
    <mergeCell ref="A209:AJ209"/>
    <mergeCell ref="X215:Y215"/>
    <mergeCell ref="AA215:AD215"/>
    <mergeCell ref="AF215:AH215"/>
    <mergeCell ref="A217:AJ217"/>
    <mergeCell ref="A218:B218"/>
    <mergeCell ref="C218:F218"/>
    <mergeCell ref="G218:U218"/>
    <mergeCell ref="V218:AE218"/>
    <mergeCell ref="AF218:AJ218"/>
    <mergeCell ref="A219:B219"/>
    <mergeCell ref="C219:F219"/>
    <mergeCell ref="G219:U219"/>
    <mergeCell ref="V219:AE219"/>
    <mergeCell ref="AF219:AJ219"/>
    <mergeCell ref="A220:B220"/>
    <mergeCell ref="C220:F220"/>
    <mergeCell ref="G220:U220"/>
    <mergeCell ref="V220:AE220"/>
    <mergeCell ref="AF220:AJ220"/>
    <mergeCell ref="A221:B221"/>
    <mergeCell ref="C221:F221"/>
    <mergeCell ref="G221:U221"/>
    <mergeCell ref="V221:AE221"/>
    <mergeCell ref="AF221:AJ221"/>
    <mergeCell ref="A222:B222"/>
    <mergeCell ref="C222:F222"/>
    <mergeCell ref="G222:U222"/>
    <mergeCell ref="V222:AE222"/>
    <mergeCell ref="AF222:AJ222"/>
    <mergeCell ref="A223:B223"/>
    <mergeCell ref="C223:F223"/>
    <mergeCell ref="G223:U223"/>
    <mergeCell ref="V223:AE223"/>
    <mergeCell ref="AF223:AJ223"/>
    <mergeCell ref="A224:B224"/>
    <mergeCell ref="C224:F224"/>
    <mergeCell ref="G224:U224"/>
    <mergeCell ref="V224:AE224"/>
    <mergeCell ref="AF224:AJ224"/>
    <mergeCell ref="A225:B225"/>
    <mergeCell ref="C225:F225"/>
    <mergeCell ref="G225:U225"/>
    <mergeCell ref="V225:AE225"/>
    <mergeCell ref="AF225:AJ225"/>
    <mergeCell ref="A226:B226"/>
    <mergeCell ref="C226:F226"/>
    <mergeCell ref="G226:U226"/>
    <mergeCell ref="V226:AE226"/>
    <mergeCell ref="AF226:AJ226"/>
    <mergeCell ref="AF229:AJ229"/>
    <mergeCell ref="A230:B230"/>
    <mergeCell ref="C230:F230"/>
    <mergeCell ref="G230:U230"/>
    <mergeCell ref="V230:AE230"/>
    <mergeCell ref="AF230:AJ230"/>
    <mergeCell ref="A227:B227"/>
    <mergeCell ref="C227:F227"/>
    <mergeCell ref="G227:U227"/>
    <mergeCell ref="V227:AE227"/>
    <mergeCell ref="AF227:AJ227"/>
    <mergeCell ref="A228:B228"/>
    <mergeCell ref="C228:F228"/>
    <mergeCell ref="G228:U228"/>
    <mergeCell ref="V228:AE228"/>
    <mergeCell ref="AF228:AJ228"/>
    <mergeCell ref="A233:B233"/>
    <mergeCell ref="C233:F233"/>
    <mergeCell ref="G233:U233"/>
    <mergeCell ref="V233:AE233"/>
    <mergeCell ref="AF233:AJ233"/>
    <mergeCell ref="A27:B27"/>
    <mergeCell ref="C27:I27"/>
    <mergeCell ref="J27:N27"/>
    <mergeCell ref="O27:S27"/>
    <mergeCell ref="T27:AF27"/>
    <mergeCell ref="A231:B231"/>
    <mergeCell ref="C231:F231"/>
    <mergeCell ref="G231:U231"/>
    <mergeCell ref="V231:AE231"/>
    <mergeCell ref="AF231:AJ231"/>
    <mergeCell ref="A232:B232"/>
    <mergeCell ref="C232:F232"/>
    <mergeCell ref="G232:U232"/>
    <mergeCell ref="V232:AE232"/>
    <mergeCell ref="AF232:AJ232"/>
    <mergeCell ref="A229:B229"/>
    <mergeCell ref="C229:F229"/>
    <mergeCell ref="G229:U229"/>
    <mergeCell ref="V229:AE229"/>
  </mergeCells>
  <pageMargins left="0.70866141732283472" right="0.19685039370078741" top="0.23622047244094491" bottom="0.27559055118110237" header="0" footer="0"/>
  <pageSetup paperSize="9" fitToHeight="2" orientation="portrait" r:id="rId1"/>
  <headerFooter alignWithMargins="0"/>
  <rowBreaks count="1" manualBreakCount="1">
    <brk id="216" max="35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7">
    <pageSetUpPr fitToPage="1"/>
  </sheetPr>
  <dimension ref="A1:F41"/>
  <sheetViews>
    <sheetView showGridLines="0" zoomScaleNormal="100" zoomScaleSheetLayoutView="110" workbookViewId="0">
      <pane ySplit="4" topLeftCell="A5" activePane="bottomLeft" state="frozen"/>
      <selection activeCell="F20" sqref="F20"/>
      <selection pane="bottomLeft" activeCell="F20" sqref="F20"/>
    </sheetView>
  </sheetViews>
  <sheetFormatPr defaultRowHeight="12.5" x14ac:dyDescent="0.25"/>
  <cols>
    <col min="1" max="1" width="6.453125" style="16" customWidth="1"/>
    <col min="2" max="6" width="17.453125" style="16" customWidth="1"/>
    <col min="7" max="256" width="8.7265625" style="16"/>
    <col min="257" max="257" width="6.453125" style="16" customWidth="1"/>
    <col min="258" max="262" width="17.453125" style="16" customWidth="1"/>
    <col min="263" max="512" width="8.7265625" style="16"/>
    <col min="513" max="513" width="6.453125" style="16" customWidth="1"/>
    <col min="514" max="518" width="17.453125" style="16" customWidth="1"/>
    <col min="519" max="768" width="8.7265625" style="16"/>
    <col min="769" max="769" width="6.453125" style="16" customWidth="1"/>
    <col min="770" max="774" width="17.453125" style="16" customWidth="1"/>
    <col min="775" max="1024" width="8.7265625" style="16"/>
    <col min="1025" max="1025" width="6.453125" style="16" customWidth="1"/>
    <col min="1026" max="1030" width="17.453125" style="16" customWidth="1"/>
    <col min="1031" max="1280" width="8.7265625" style="16"/>
    <col min="1281" max="1281" width="6.453125" style="16" customWidth="1"/>
    <col min="1282" max="1286" width="17.453125" style="16" customWidth="1"/>
    <col min="1287" max="1536" width="8.7265625" style="16"/>
    <col min="1537" max="1537" width="6.453125" style="16" customWidth="1"/>
    <col min="1538" max="1542" width="17.453125" style="16" customWidth="1"/>
    <col min="1543" max="1792" width="8.7265625" style="16"/>
    <col min="1793" max="1793" width="6.453125" style="16" customWidth="1"/>
    <col min="1794" max="1798" width="17.453125" style="16" customWidth="1"/>
    <col min="1799" max="2048" width="8.7265625" style="16"/>
    <col min="2049" max="2049" width="6.453125" style="16" customWidth="1"/>
    <col min="2050" max="2054" width="17.453125" style="16" customWidth="1"/>
    <col min="2055" max="2304" width="8.7265625" style="16"/>
    <col min="2305" max="2305" width="6.453125" style="16" customWidth="1"/>
    <col min="2306" max="2310" width="17.453125" style="16" customWidth="1"/>
    <col min="2311" max="2560" width="8.7265625" style="16"/>
    <col min="2561" max="2561" width="6.453125" style="16" customWidth="1"/>
    <col min="2562" max="2566" width="17.453125" style="16" customWidth="1"/>
    <col min="2567" max="2816" width="8.7265625" style="16"/>
    <col min="2817" max="2817" width="6.453125" style="16" customWidth="1"/>
    <col min="2818" max="2822" width="17.453125" style="16" customWidth="1"/>
    <col min="2823" max="3072" width="8.7265625" style="16"/>
    <col min="3073" max="3073" width="6.453125" style="16" customWidth="1"/>
    <col min="3074" max="3078" width="17.453125" style="16" customWidth="1"/>
    <col min="3079" max="3328" width="8.7265625" style="16"/>
    <col min="3329" max="3329" width="6.453125" style="16" customWidth="1"/>
    <col min="3330" max="3334" width="17.453125" style="16" customWidth="1"/>
    <col min="3335" max="3584" width="8.7265625" style="16"/>
    <col min="3585" max="3585" width="6.453125" style="16" customWidth="1"/>
    <col min="3586" max="3590" width="17.453125" style="16" customWidth="1"/>
    <col min="3591" max="3840" width="8.7265625" style="16"/>
    <col min="3841" max="3841" width="6.453125" style="16" customWidth="1"/>
    <col min="3842" max="3846" width="17.453125" style="16" customWidth="1"/>
    <col min="3847" max="4096" width="8.7265625" style="16"/>
    <col min="4097" max="4097" width="6.453125" style="16" customWidth="1"/>
    <col min="4098" max="4102" width="17.453125" style="16" customWidth="1"/>
    <col min="4103" max="4352" width="8.7265625" style="16"/>
    <col min="4353" max="4353" width="6.453125" style="16" customWidth="1"/>
    <col min="4354" max="4358" width="17.453125" style="16" customWidth="1"/>
    <col min="4359" max="4608" width="8.7265625" style="16"/>
    <col min="4609" max="4609" width="6.453125" style="16" customWidth="1"/>
    <col min="4610" max="4614" width="17.453125" style="16" customWidth="1"/>
    <col min="4615" max="4864" width="8.7265625" style="16"/>
    <col min="4865" max="4865" width="6.453125" style="16" customWidth="1"/>
    <col min="4866" max="4870" width="17.453125" style="16" customWidth="1"/>
    <col min="4871" max="5120" width="8.7265625" style="16"/>
    <col min="5121" max="5121" width="6.453125" style="16" customWidth="1"/>
    <col min="5122" max="5126" width="17.453125" style="16" customWidth="1"/>
    <col min="5127" max="5376" width="8.7265625" style="16"/>
    <col min="5377" max="5377" width="6.453125" style="16" customWidth="1"/>
    <col min="5378" max="5382" width="17.453125" style="16" customWidth="1"/>
    <col min="5383" max="5632" width="8.7265625" style="16"/>
    <col min="5633" max="5633" width="6.453125" style="16" customWidth="1"/>
    <col min="5634" max="5638" width="17.453125" style="16" customWidth="1"/>
    <col min="5639" max="5888" width="8.7265625" style="16"/>
    <col min="5889" max="5889" width="6.453125" style="16" customWidth="1"/>
    <col min="5890" max="5894" width="17.453125" style="16" customWidth="1"/>
    <col min="5895" max="6144" width="8.7265625" style="16"/>
    <col min="6145" max="6145" width="6.453125" style="16" customWidth="1"/>
    <col min="6146" max="6150" width="17.453125" style="16" customWidth="1"/>
    <col min="6151" max="6400" width="8.7265625" style="16"/>
    <col min="6401" max="6401" width="6.453125" style="16" customWidth="1"/>
    <col min="6402" max="6406" width="17.453125" style="16" customWidth="1"/>
    <col min="6407" max="6656" width="8.7265625" style="16"/>
    <col min="6657" max="6657" width="6.453125" style="16" customWidth="1"/>
    <col min="6658" max="6662" width="17.453125" style="16" customWidth="1"/>
    <col min="6663" max="6912" width="8.7265625" style="16"/>
    <col min="6913" max="6913" width="6.453125" style="16" customWidth="1"/>
    <col min="6914" max="6918" width="17.453125" style="16" customWidth="1"/>
    <col min="6919" max="7168" width="8.7265625" style="16"/>
    <col min="7169" max="7169" width="6.453125" style="16" customWidth="1"/>
    <col min="7170" max="7174" width="17.453125" style="16" customWidth="1"/>
    <col min="7175" max="7424" width="8.7265625" style="16"/>
    <col min="7425" max="7425" width="6.453125" style="16" customWidth="1"/>
    <col min="7426" max="7430" width="17.453125" style="16" customWidth="1"/>
    <col min="7431" max="7680" width="8.7265625" style="16"/>
    <col min="7681" max="7681" width="6.453125" style="16" customWidth="1"/>
    <col min="7682" max="7686" width="17.453125" style="16" customWidth="1"/>
    <col min="7687" max="7936" width="8.7265625" style="16"/>
    <col min="7937" max="7937" width="6.453125" style="16" customWidth="1"/>
    <col min="7938" max="7942" width="17.453125" style="16" customWidth="1"/>
    <col min="7943" max="8192" width="8.7265625" style="16"/>
    <col min="8193" max="8193" width="6.453125" style="16" customWidth="1"/>
    <col min="8194" max="8198" width="17.453125" style="16" customWidth="1"/>
    <col min="8199" max="8448" width="8.7265625" style="16"/>
    <col min="8449" max="8449" width="6.453125" style="16" customWidth="1"/>
    <col min="8450" max="8454" width="17.453125" style="16" customWidth="1"/>
    <col min="8455" max="8704" width="8.7265625" style="16"/>
    <col min="8705" max="8705" width="6.453125" style="16" customWidth="1"/>
    <col min="8706" max="8710" width="17.453125" style="16" customWidth="1"/>
    <col min="8711" max="8960" width="8.7265625" style="16"/>
    <col min="8961" max="8961" width="6.453125" style="16" customWidth="1"/>
    <col min="8962" max="8966" width="17.453125" style="16" customWidth="1"/>
    <col min="8967" max="9216" width="8.7265625" style="16"/>
    <col min="9217" max="9217" width="6.453125" style="16" customWidth="1"/>
    <col min="9218" max="9222" width="17.453125" style="16" customWidth="1"/>
    <col min="9223" max="9472" width="8.7265625" style="16"/>
    <col min="9473" max="9473" width="6.453125" style="16" customWidth="1"/>
    <col min="9474" max="9478" width="17.453125" style="16" customWidth="1"/>
    <col min="9479" max="9728" width="8.7265625" style="16"/>
    <col min="9729" max="9729" width="6.453125" style="16" customWidth="1"/>
    <col min="9730" max="9734" width="17.453125" style="16" customWidth="1"/>
    <col min="9735" max="9984" width="8.7265625" style="16"/>
    <col min="9985" max="9985" width="6.453125" style="16" customWidth="1"/>
    <col min="9986" max="9990" width="17.453125" style="16" customWidth="1"/>
    <col min="9991" max="10240" width="8.7265625" style="16"/>
    <col min="10241" max="10241" width="6.453125" style="16" customWidth="1"/>
    <col min="10242" max="10246" width="17.453125" style="16" customWidth="1"/>
    <col min="10247" max="10496" width="8.7265625" style="16"/>
    <col min="10497" max="10497" width="6.453125" style="16" customWidth="1"/>
    <col min="10498" max="10502" width="17.453125" style="16" customWidth="1"/>
    <col min="10503" max="10752" width="8.7265625" style="16"/>
    <col min="10753" max="10753" width="6.453125" style="16" customWidth="1"/>
    <col min="10754" max="10758" width="17.453125" style="16" customWidth="1"/>
    <col min="10759" max="11008" width="8.7265625" style="16"/>
    <col min="11009" max="11009" width="6.453125" style="16" customWidth="1"/>
    <col min="11010" max="11014" width="17.453125" style="16" customWidth="1"/>
    <col min="11015" max="11264" width="8.7265625" style="16"/>
    <col min="11265" max="11265" width="6.453125" style="16" customWidth="1"/>
    <col min="11266" max="11270" width="17.453125" style="16" customWidth="1"/>
    <col min="11271" max="11520" width="8.7265625" style="16"/>
    <col min="11521" max="11521" width="6.453125" style="16" customWidth="1"/>
    <col min="11522" max="11526" width="17.453125" style="16" customWidth="1"/>
    <col min="11527" max="11776" width="8.7265625" style="16"/>
    <col min="11777" max="11777" width="6.453125" style="16" customWidth="1"/>
    <col min="11778" max="11782" width="17.453125" style="16" customWidth="1"/>
    <col min="11783" max="12032" width="8.7265625" style="16"/>
    <col min="12033" max="12033" width="6.453125" style="16" customWidth="1"/>
    <col min="12034" max="12038" width="17.453125" style="16" customWidth="1"/>
    <col min="12039" max="12288" width="8.7265625" style="16"/>
    <col min="12289" max="12289" width="6.453125" style="16" customWidth="1"/>
    <col min="12290" max="12294" width="17.453125" style="16" customWidth="1"/>
    <col min="12295" max="12544" width="8.7265625" style="16"/>
    <col min="12545" max="12545" width="6.453125" style="16" customWidth="1"/>
    <col min="12546" max="12550" width="17.453125" style="16" customWidth="1"/>
    <col min="12551" max="12800" width="8.7265625" style="16"/>
    <col min="12801" max="12801" width="6.453125" style="16" customWidth="1"/>
    <col min="12802" max="12806" width="17.453125" style="16" customWidth="1"/>
    <col min="12807" max="13056" width="8.7265625" style="16"/>
    <col min="13057" max="13057" width="6.453125" style="16" customWidth="1"/>
    <col min="13058" max="13062" width="17.453125" style="16" customWidth="1"/>
    <col min="13063" max="13312" width="8.7265625" style="16"/>
    <col min="13313" max="13313" width="6.453125" style="16" customWidth="1"/>
    <col min="13314" max="13318" width="17.453125" style="16" customWidth="1"/>
    <col min="13319" max="13568" width="8.7265625" style="16"/>
    <col min="13569" max="13569" width="6.453125" style="16" customWidth="1"/>
    <col min="13570" max="13574" width="17.453125" style="16" customWidth="1"/>
    <col min="13575" max="13824" width="8.7265625" style="16"/>
    <col min="13825" max="13825" width="6.453125" style="16" customWidth="1"/>
    <col min="13826" max="13830" width="17.453125" style="16" customWidth="1"/>
    <col min="13831" max="14080" width="8.7265625" style="16"/>
    <col min="14081" max="14081" width="6.453125" style="16" customWidth="1"/>
    <col min="14082" max="14086" width="17.453125" style="16" customWidth="1"/>
    <col min="14087" max="14336" width="8.7265625" style="16"/>
    <col min="14337" max="14337" width="6.453125" style="16" customWidth="1"/>
    <col min="14338" max="14342" width="17.453125" style="16" customWidth="1"/>
    <col min="14343" max="14592" width="8.7265625" style="16"/>
    <col min="14593" max="14593" width="6.453125" style="16" customWidth="1"/>
    <col min="14594" max="14598" width="17.453125" style="16" customWidth="1"/>
    <col min="14599" max="14848" width="8.7265625" style="16"/>
    <col min="14849" max="14849" width="6.453125" style="16" customWidth="1"/>
    <col min="14850" max="14854" width="17.453125" style="16" customWidth="1"/>
    <col min="14855" max="15104" width="8.7265625" style="16"/>
    <col min="15105" max="15105" width="6.453125" style="16" customWidth="1"/>
    <col min="15106" max="15110" width="17.453125" style="16" customWidth="1"/>
    <col min="15111" max="15360" width="8.7265625" style="16"/>
    <col min="15361" max="15361" width="6.453125" style="16" customWidth="1"/>
    <col min="15362" max="15366" width="17.453125" style="16" customWidth="1"/>
    <col min="15367" max="15616" width="8.7265625" style="16"/>
    <col min="15617" max="15617" width="6.453125" style="16" customWidth="1"/>
    <col min="15618" max="15622" width="17.453125" style="16" customWidth="1"/>
    <col min="15623" max="15872" width="8.7265625" style="16"/>
    <col min="15873" max="15873" width="6.453125" style="16" customWidth="1"/>
    <col min="15874" max="15878" width="17.453125" style="16" customWidth="1"/>
    <col min="15879" max="16128" width="8.7265625" style="16"/>
    <col min="16129" max="16129" width="6.453125" style="16" customWidth="1"/>
    <col min="16130" max="16134" width="17.453125" style="16" customWidth="1"/>
    <col min="16135" max="16384" width="8.7265625" style="16"/>
  </cols>
  <sheetData>
    <row r="1" spans="1:6" ht="21" customHeight="1" x14ac:dyDescent="0.35">
      <c r="A1" s="171" t="s">
        <v>131</v>
      </c>
      <c r="B1" s="171"/>
      <c r="C1" s="171"/>
      <c r="D1" s="171"/>
      <c r="E1" s="171"/>
      <c r="F1" s="171"/>
    </row>
    <row r="2" spans="1:6" ht="51" customHeight="1" x14ac:dyDescent="0.25">
      <c r="A2" s="172" t="s">
        <v>132</v>
      </c>
      <c r="B2" s="172"/>
      <c r="C2" s="172"/>
      <c r="D2" s="172"/>
      <c r="E2" s="172"/>
      <c r="F2" s="172"/>
    </row>
    <row r="3" spans="1:6" ht="157.5" customHeight="1" x14ac:dyDescent="0.25">
      <c r="A3" s="64" t="s">
        <v>133</v>
      </c>
      <c r="B3" s="64" t="s">
        <v>134</v>
      </c>
      <c r="C3" s="64" t="s">
        <v>135</v>
      </c>
      <c r="D3" s="64" t="s">
        <v>136</v>
      </c>
      <c r="E3" s="64" t="s">
        <v>137</v>
      </c>
      <c r="F3" s="64" t="s">
        <v>19</v>
      </c>
    </row>
    <row r="4" spans="1:6" x14ac:dyDescent="0.25">
      <c r="A4" s="65">
        <v>1</v>
      </c>
      <c r="B4" s="65">
        <v>2</v>
      </c>
      <c r="C4" s="65">
        <v>3</v>
      </c>
      <c r="D4" s="65">
        <v>4</v>
      </c>
      <c r="E4" s="65">
        <v>5</v>
      </c>
      <c r="F4" s="65">
        <v>6</v>
      </c>
    </row>
    <row r="5" spans="1:6" ht="31.5" customHeight="1" x14ac:dyDescent="0.25">
      <c r="A5" s="65"/>
      <c r="B5" s="65"/>
      <c r="C5" s="65"/>
      <c r="D5" s="65"/>
      <c r="E5" s="65"/>
      <c r="F5" s="65"/>
    </row>
    <row r="6" spans="1:6" ht="31.5" customHeight="1" x14ac:dyDescent="0.25">
      <c r="A6" s="65"/>
      <c r="B6" s="65"/>
      <c r="C6" s="65"/>
      <c r="D6" s="65"/>
      <c r="E6" s="65"/>
      <c r="F6" s="65"/>
    </row>
    <row r="7" spans="1:6" ht="31.5" customHeight="1" x14ac:dyDescent="0.25">
      <c r="A7" s="65"/>
      <c r="B7" s="65"/>
      <c r="C7" s="65"/>
      <c r="D7" s="65"/>
      <c r="E7" s="65"/>
      <c r="F7" s="65"/>
    </row>
    <row r="8" spans="1:6" ht="31.5" customHeight="1" x14ac:dyDescent="0.25">
      <c r="A8" s="65"/>
      <c r="B8" s="65"/>
      <c r="C8" s="65"/>
      <c r="D8" s="65"/>
      <c r="E8" s="65"/>
      <c r="F8" s="65"/>
    </row>
    <row r="9" spans="1:6" ht="31.5" customHeight="1" x14ac:dyDescent="0.25">
      <c r="A9" s="65"/>
      <c r="B9" s="65"/>
      <c r="C9" s="65"/>
      <c r="D9" s="65"/>
      <c r="E9" s="65"/>
      <c r="F9" s="65"/>
    </row>
    <row r="10" spans="1:6" ht="31.5" customHeight="1" x14ac:dyDescent="0.25">
      <c r="A10" s="65"/>
      <c r="B10" s="65"/>
      <c r="C10" s="65"/>
      <c r="D10" s="65"/>
      <c r="E10" s="65"/>
      <c r="F10" s="65"/>
    </row>
    <row r="11" spans="1:6" ht="31.5" customHeight="1" x14ac:dyDescent="0.25">
      <c r="A11" s="65"/>
      <c r="B11" s="65"/>
      <c r="C11" s="65"/>
      <c r="D11" s="65"/>
      <c r="E11" s="65"/>
      <c r="F11" s="65"/>
    </row>
    <row r="12" spans="1:6" ht="31.5" customHeight="1" x14ac:dyDescent="0.25">
      <c r="A12" s="65"/>
      <c r="B12" s="65"/>
      <c r="C12" s="65"/>
      <c r="D12" s="65"/>
      <c r="E12" s="65"/>
      <c r="F12" s="65"/>
    </row>
    <row r="13" spans="1:6" ht="31.5" customHeight="1" x14ac:dyDescent="0.25">
      <c r="A13" s="65"/>
      <c r="B13" s="65"/>
      <c r="C13" s="65"/>
      <c r="D13" s="65"/>
      <c r="E13" s="65"/>
      <c r="F13" s="65"/>
    </row>
    <row r="14" spans="1:6" ht="31.5" customHeight="1" x14ac:dyDescent="0.25">
      <c r="A14" s="65"/>
      <c r="B14" s="65"/>
      <c r="C14" s="65"/>
      <c r="D14" s="65"/>
      <c r="E14" s="65"/>
      <c r="F14" s="65"/>
    </row>
    <row r="15" spans="1:6" ht="31.5" customHeight="1" x14ac:dyDescent="0.25">
      <c r="A15" s="65"/>
      <c r="B15" s="65"/>
      <c r="C15" s="65"/>
      <c r="D15" s="65"/>
      <c r="E15" s="65"/>
      <c r="F15" s="65"/>
    </row>
    <row r="16" spans="1:6" ht="31.5" customHeight="1" x14ac:dyDescent="0.25">
      <c r="A16" s="65"/>
      <c r="B16" s="65"/>
      <c r="C16" s="65"/>
      <c r="D16" s="65"/>
      <c r="E16" s="65"/>
      <c r="F16" s="65"/>
    </row>
    <row r="17" spans="1:6" ht="31.5" customHeight="1" x14ac:dyDescent="0.25">
      <c r="A17" s="65"/>
      <c r="B17" s="65"/>
      <c r="C17" s="65"/>
      <c r="D17" s="65"/>
      <c r="E17" s="65"/>
      <c r="F17" s="65"/>
    </row>
    <row r="18" spans="1:6" ht="31.5" customHeight="1" x14ac:dyDescent="0.25">
      <c r="A18" s="65"/>
      <c r="B18" s="65"/>
      <c r="C18" s="65"/>
      <c r="D18" s="65"/>
      <c r="E18" s="65"/>
      <c r="F18" s="65"/>
    </row>
    <row r="19" spans="1:6" ht="31.5" customHeight="1" x14ac:dyDescent="0.25">
      <c r="A19" s="65"/>
      <c r="B19" s="65"/>
      <c r="C19" s="65"/>
      <c r="D19" s="65"/>
      <c r="E19" s="65"/>
      <c r="F19" s="65"/>
    </row>
    <row r="20" spans="1:6" ht="31.5" customHeight="1" x14ac:dyDescent="0.25">
      <c r="A20" s="65"/>
      <c r="B20" s="65"/>
      <c r="C20" s="65"/>
      <c r="D20" s="65"/>
      <c r="E20" s="65"/>
      <c r="F20" s="65"/>
    </row>
    <row r="21" spans="1:6" ht="31.5" customHeight="1" x14ac:dyDescent="0.25">
      <c r="A21" s="65"/>
      <c r="B21" s="65"/>
      <c r="C21" s="65"/>
      <c r="D21" s="65"/>
      <c r="E21" s="65"/>
      <c r="F21" s="65"/>
    </row>
    <row r="22" spans="1:6" ht="31.5" customHeight="1" x14ac:dyDescent="0.25">
      <c r="A22" s="65"/>
      <c r="B22" s="65"/>
      <c r="C22" s="65"/>
      <c r="D22" s="65"/>
      <c r="E22" s="65"/>
      <c r="F22" s="65"/>
    </row>
    <row r="23" spans="1:6" ht="31.5" customHeight="1" x14ac:dyDescent="0.25">
      <c r="A23" s="65"/>
      <c r="B23" s="65"/>
      <c r="C23" s="65"/>
      <c r="D23" s="65"/>
      <c r="E23" s="65"/>
      <c r="F23" s="65"/>
    </row>
    <row r="24" spans="1:6" ht="31.5" customHeight="1" x14ac:dyDescent="0.25">
      <c r="A24" s="65"/>
      <c r="B24" s="65"/>
      <c r="C24" s="65"/>
      <c r="D24" s="65"/>
      <c r="E24" s="65"/>
      <c r="F24" s="65"/>
    </row>
    <row r="25" spans="1:6" ht="31.5" customHeight="1" x14ac:dyDescent="0.25">
      <c r="A25" s="65"/>
      <c r="B25" s="65"/>
      <c r="C25" s="65"/>
      <c r="D25" s="65"/>
      <c r="E25" s="65"/>
      <c r="F25" s="65"/>
    </row>
    <row r="26" spans="1:6" ht="31.5" customHeight="1" x14ac:dyDescent="0.25">
      <c r="A26" s="65"/>
      <c r="B26" s="65"/>
      <c r="C26" s="65"/>
      <c r="D26" s="65"/>
      <c r="E26" s="65"/>
      <c r="F26" s="65"/>
    </row>
    <row r="27" spans="1:6" ht="31.5" customHeight="1" x14ac:dyDescent="0.25">
      <c r="A27" s="65"/>
      <c r="B27" s="65"/>
      <c r="C27" s="65"/>
      <c r="D27" s="65"/>
      <c r="E27" s="65"/>
      <c r="F27" s="65"/>
    </row>
    <row r="28" spans="1:6" ht="31.5" customHeight="1" x14ac:dyDescent="0.25">
      <c r="A28" s="65"/>
      <c r="B28" s="65"/>
      <c r="C28" s="65"/>
      <c r="D28" s="65"/>
      <c r="E28" s="65"/>
      <c r="F28" s="65"/>
    </row>
    <row r="29" spans="1:6" ht="31.5" customHeight="1" x14ac:dyDescent="0.25">
      <c r="A29" s="65"/>
      <c r="B29" s="65"/>
      <c r="C29" s="65"/>
      <c r="D29" s="65"/>
      <c r="E29" s="65"/>
      <c r="F29" s="65"/>
    </row>
    <row r="30" spans="1:6" ht="31.5" customHeight="1" x14ac:dyDescent="0.25">
      <c r="A30" s="65"/>
      <c r="B30" s="65"/>
      <c r="C30" s="65"/>
      <c r="D30" s="65"/>
      <c r="E30" s="65"/>
      <c r="F30" s="65"/>
    </row>
    <row r="31" spans="1:6" ht="31.5" customHeight="1" x14ac:dyDescent="0.25">
      <c r="A31" s="65"/>
      <c r="B31" s="65"/>
      <c r="C31" s="65"/>
      <c r="D31" s="65"/>
      <c r="E31" s="65"/>
      <c r="F31" s="65"/>
    </row>
    <row r="32" spans="1:6" ht="31.5" customHeight="1" x14ac:dyDescent="0.25">
      <c r="A32" s="65"/>
      <c r="B32" s="65"/>
      <c r="C32" s="65"/>
      <c r="D32" s="65"/>
      <c r="E32" s="65"/>
      <c r="F32" s="65"/>
    </row>
    <row r="33" spans="1:6" ht="31.5" customHeight="1" x14ac:dyDescent="0.25">
      <c r="A33" s="65"/>
      <c r="B33" s="65"/>
      <c r="C33" s="65"/>
      <c r="D33" s="65"/>
      <c r="E33" s="65"/>
      <c r="F33" s="65"/>
    </row>
    <row r="34" spans="1:6" ht="31.5" customHeight="1" x14ac:dyDescent="0.25">
      <c r="A34" s="65"/>
      <c r="B34" s="65"/>
      <c r="C34" s="65"/>
      <c r="D34" s="65"/>
      <c r="E34" s="65"/>
      <c r="F34" s="65"/>
    </row>
    <row r="35" spans="1:6" ht="31.5" customHeight="1" x14ac:dyDescent="0.25">
      <c r="A35" s="65"/>
      <c r="B35" s="65"/>
      <c r="C35" s="65"/>
      <c r="D35" s="65"/>
      <c r="E35" s="65"/>
      <c r="F35" s="65"/>
    </row>
    <row r="36" spans="1:6" ht="31.5" customHeight="1" x14ac:dyDescent="0.25">
      <c r="A36" s="65"/>
      <c r="B36" s="65"/>
      <c r="C36" s="65"/>
      <c r="D36" s="65"/>
      <c r="E36" s="65"/>
      <c r="F36" s="65"/>
    </row>
    <row r="37" spans="1:6" ht="31.5" customHeight="1" x14ac:dyDescent="0.25">
      <c r="A37" s="65"/>
      <c r="B37" s="65"/>
      <c r="C37" s="65"/>
      <c r="D37" s="65"/>
      <c r="E37" s="65"/>
      <c r="F37" s="65"/>
    </row>
    <row r="38" spans="1:6" ht="31.5" customHeight="1" x14ac:dyDescent="0.25">
      <c r="A38" s="65"/>
      <c r="B38" s="65"/>
      <c r="C38" s="65"/>
      <c r="D38" s="65"/>
      <c r="E38" s="65"/>
      <c r="F38" s="65"/>
    </row>
    <row r="39" spans="1:6" ht="31.5" customHeight="1" x14ac:dyDescent="0.25">
      <c r="A39" s="65"/>
      <c r="B39" s="65"/>
      <c r="C39" s="65"/>
      <c r="D39" s="65"/>
      <c r="E39" s="65"/>
      <c r="F39" s="65"/>
    </row>
    <row r="40" spans="1:6" ht="31.5" customHeight="1" x14ac:dyDescent="0.25">
      <c r="A40" s="65"/>
      <c r="B40" s="65"/>
      <c r="C40" s="65"/>
      <c r="D40" s="65"/>
      <c r="E40" s="65"/>
      <c r="F40" s="65"/>
    </row>
    <row r="41" spans="1:6" ht="0.75" customHeight="1" x14ac:dyDescent="0.25">
      <c r="A41" s="52"/>
      <c r="B41" s="52"/>
      <c r="C41" s="52"/>
      <c r="D41" s="52"/>
      <c r="E41" s="52"/>
      <c r="F41" s="52"/>
    </row>
  </sheetData>
  <mergeCells count="2">
    <mergeCell ref="A1:F1"/>
    <mergeCell ref="A2:F2"/>
  </mergeCells>
  <pageMargins left="0.78740157480314965" right="0.19685039370078741" top="0.39370078740157483" bottom="0.39370078740157483" header="0.51181102362204722" footer="0.51181102362204722"/>
  <pageSetup paperSize="9" scale="99" fitToHeight="0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8">
    <pageSetUpPr fitToPage="1"/>
  </sheetPr>
  <dimension ref="A1:E42"/>
  <sheetViews>
    <sheetView showGridLines="0" zoomScale="115" zoomScaleNormal="115" zoomScaleSheetLayoutView="110" workbookViewId="0">
      <pane ySplit="4" topLeftCell="A25" activePane="bottomLeft" state="frozen"/>
      <selection activeCell="F20" sqref="F20"/>
      <selection pane="bottomLeft" activeCell="F20" sqref="F20"/>
    </sheetView>
  </sheetViews>
  <sheetFormatPr defaultRowHeight="12.5" x14ac:dyDescent="0.25"/>
  <cols>
    <col min="1" max="1" width="6.7265625" style="16" customWidth="1"/>
    <col min="2" max="2" width="21.54296875" style="16" customWidth="1"/>
    <col min="3" max="3" width="36.7265625" style="16" customWidth="1"/>
    <col min="4" max="4" width="17.7265625" style="16" customWidth="1"/>
    <col min="5" max="5" width="16.54296875" style="16" customWidth="1"/>
    <col min="6" max="256" width="8.7265625" style="16"/>
    <col min="257" max="257" width="6.7265625" style="16" customWidth="1"/>
    <col min="258" max="258" width="21.54296875" style="16" customWidth="1"/>
    <col min="259" max="259" width="31.7265625" style="16" customWidth="1"/>
    <col min="260" max="260" width="17.7265625" style="16" customWidth="1"/>
    <col min="261" max="261" width="16.54296875" style="16" customWidth="1"/>
    <col min="262" max="512" width="8.7265625" style="16"/>
    <col min="513" max="513" width="6.7265625" style="16" customWidth="1"/>
    <col min="514" max="514" width="21.54296875" style="16" customWidth="1"/>
    <col min="515" max="515" width="31.7265625" style="16" customWidth="1"/>
    <col min="516" max="516" width="17.7265625" style="16" customWidth="1"/>
    <col min="517" max="517" width="16.54296875" style="16" customWidth="1"/>
    <col min="518" max="768" width="8.7265625" style="16"/>
    <col min="769" max="769" width="6.7265625" style="16" customWidth="1"/>
    <col min="770" max="770" width="21.54296875" style="16" customWidth="1"/>
    <col min="771" max="771" width="31.7265625" style="16" customWidth="1"/>
    <col min="772" max="772" width="17.7265625" style="16" customWidth="1"/>
    <col min="773" max="773" width="16.54296875" style="16" customWidth="1"/>
    <col min="774" max="1024" width="8.7265625" style="16"/>
    <col min="1025" max="1025" width="6.7265625" style="16" customWidth="1"/>
    <col min="1026" max="1026" width="21.54296875" style="16" customWidth="1"/>
    <col min="1027" max="1027" width="31.7265625" style="16" customWidth="1"/>
    <col min="1028" max="1028" width="17.7265625" style="16" customWidth="1"/>
    <col min="1029" max="1029" width="16.54296875" style="16" customWidth="1"/>
    <col min="1030" max="1280" width="8.7265625" style="16"/>
    <col min="1281" max="1281" width="6.7265625" style="16" customWidth="1"/>
    <col min="1282" max="1282" width="21.54296875" style="16" customWidth="1"/>
    <col min="1283" max="1283" width="31.7265625" style="16" customWidth="1"/>
    <col min="1284" max="1284" width="17.7265625" style="16" customWidth="1"/>
    <col min="1285" max="1285" width="16.54296875" style="16" customWidth="1"/>
    <col min="1286" max="1536" width="8.7265625" style="16"/>
    <col min="1537" max="1537" width="6.7265625" style="16" customWidth="1"/>
    <col min="1538" max="1538" width="21.54296875" style="16" customWidth="1"/>
    <col min="1539" max="1539" width="31.7265625" style="16" customWidth="1"/>
    <col min="1540" max="1540" width="17.7265625" style="16" customWidth="1"/>
    <col min="1541" max="1541" width="16.54296875" style="16" customWidth="1"/>
    <col min="1542" max="1792" width="8.7265625" style="16"/>
    <col min="1793" max="1793" width="6.7265625" style="16" customWidth="1"/>
    <col min="1794" max="1794" width="21.54296875" style="16" customWidth="1"/>
    <col min="1795" max="1795" width="31.7265625" style="16" customWidth="1"/>
    <col min="1796" max="1796" width="17.7265625" style="16" customWidth="1"/>
    <col min="1797" max="1797" width="16.54296875" style="16" customWidth="1"/>
    <col min="1798" max="2048" width="8.7265625" style="16"/>
    <col min="2049" max="2049" width="6.7265625" style="16" customWidth="1"/>
    <col min="2050" max="2050" width="21.54296875" style="16" customWidth="1"/>
    <col min="2051" max="2051" width="31.7265625" style="16" customWidth="1"/>
    <col min="2052" max="2052" width="17.7265625" style="16" customWidth="1"/>
    <col min="2053" max="2053" width="16.54296875" style="16" customWidth="1"/>
    <col min="2054" max="2304" width="8.7265625" style="16"/>
    <col min="2305" max="2305" width="6.7265625" style="16" customWidth="1"/>
    <col min="2306" max="2306" width="21.54296875" style="16" customWidth="1"/>
    <col min="2307" max="2307" width="31.7265625" style="16" customWidth="1"/>
    <col min="2308" max="2308" width="17.7265625" style="16" customWidth="1"/>
    <col min="2309" max="2309" width="16.54296875" style="16" customWidth="1"/>
    <col min="2310" max="2560" width="8.7265625" style="16"/>
    <col min="2561" max="2561" width="6.7265625" style="16" customWidth="1"/>
    <col min="2562" max="2562" width="21.54296875" style="16" customWidth="1"/>
    <col min="2563" max="2563" width="31.7265625" style="16" customWidth="1"/>
    <col min="2564" max="2564" width="17.7265625" style="16" customWidth="1"/>
    <col min="2565" max="2565" width="16.54296875" style="16" customWidth="1"/>
    <col min="2566" max="2816" width="8.7265625" style="16"/>
    <col min="2817" max="2817" width="6.7265625" style="16" customWidth="1"/>
    <col min="2818" max="2818" width="21.54296875" style="16" customWidth="1"/>
    <col min="2819" max="2819" width="31.7265625" style="16" customWidth="1"/>
    <col min="2820" max="2820" width="17.7265625" style="16" customWidth="1"/>
    <col min="2821" max="2821" width="16.54296875" style="16" customWidth="1"/>
    <col min="2822" max="3072" width="8.7265625" style="16"/>
    <col min="3073" max="3073" width="6.7265625" style="16" customWidth="1"/>
    <col min="3074" max="3074" width="21.54296875" style="16" customWidth="1"/>
    <col min="3075" max="3075" width="31.7265625" style="16" customWidth="1"/>
    <col min="3076" max="3076" width="17.7265625" style="16" customWidth="1"/>
    <col min="3077" max="3077" width="16.54296875" style="16" customWidth="1"/>
    <col min="3078" max="3328" width="8.7265625" style="16"/>
    <col min="3329" max="3329" width="6.7265625" style="16" customWidth="1"/>
    <col min="3330" max="3330" width="21.54296875" style="16" customWidth="1"/>
    <col min="3331" max="3331" width="31.7265625" style="16" customWidth="1"/>
    <col min="3332" max="3332" width="17.7265625" style="16" customWidth="1"/>
    <col min="3333" max="3333" width="16.54296875" style="16" customWidth="1"/>
    <col min="3334" max="3584" width="8.7265625" style="16"/>
    <col min="3585" max="3585" width="6.7265625" style="16" customWidth="1"/>
    <col min="3586" max="3586" width="21.54296875" style="16" customWidth="1"/>
    <col min="3587" max="3587" width="31.7265625" style="16" customWidth="1"/>
    <col min="3588" max="3588" width="17.7265625" style="16" customWidth="1"/>
    <col min="3589" max="3589" width="16.54296875" style="16" customWidth="1"/>
    <col min="3590" max="3840" width="8.7265625" style="16"/>
    <col min="3841" max="3841" width="6.7265625" style="16" customWidth="1"/>
    <col min="3842" max="3842" width="21.54296875" style="16" customWidth="1"/>
    <col min="3843" max="3843" width="31.7265625" style="16" customWidth="1"/>
    <col min="3844" max="3844" width="17.7265625" style="16" customWidth="1"/>
    <col min="3845" max="3845" width="16.54296875" style="16" customWidth="1"/>
    <col min="3846" max="4096" width="8.7265625" style="16"/>
    <col min="4097" max="4097" width="6.7265625" style="16" customWidth="1"/>
    <col min="4098" max="4098" width="21.54296875" style="16" customWidth="1"/>
    <col min="4099" max="4099" width="31.7265625" style="16" customWidth="1"/>
    <col min="4100" max="4100" width="17.7265625" style="16" customWidth="1"/>
    <col min="4101" max="4101" width="16.54296875" style="16" customWidth="1"/>
    <col min="4102" max="4352" width="8.7265625" style="16"/>
    <col min="4353" max="4353" width="6.7265625" style="16" customWidth="1"/>
    <col min="4354" max="4354" width="21.54296875" style="16" customWidth="1"/>
    <col min="4355" max="4355" width="31.7265625" style="16" customWidth="1"/>
    <col min="4356" max="4356" width="17.7265625" style="16" customWidth="1"/>
    <col min="4357" max="4357" width="16.54296875" style="16" customWidth="1"/>
    <col min="4358" max="4608" width="8.7265625" style="16"/>
    <col min="4609" max="4609" width="6.7265625" style="16" customWidth="1"/>
    <col min="4610" max="4610" width="21.54296875" style="16" customWidth="1"/>
    <col min="4611" max="4611" width="31.7265625" style="16" customWidth="1"/>
    <col min="4612" max="4612" width="17.7265625" style="16" customWidth="1"/>
    <col min="4613" max="4613" width="16.54296875" style="16" customWidth="1"/>
    <col min="4614" max="4864" width="8.7265625" style="16"/>
    <col min="4865" max="4865" width="6.7265625" style="16" customWidth="1"/>
    <col min="4866" max="4866" width="21.54296875" style="16" customWidth="1"/>
    <col min="4867" max="4867" width="31.7265625" style="16" customWidth="1"/>
    <col min="4868" max="4868" width="17.7265625" style="16" customWidth="1"/>
    <col min="4869" max="4869" width="16.54296875" style="16" customWidth="1"/>
    <col min="4870" max="5120" width="8.7265625" style="16"/>
    <col min="5121" max="5121" width="6.7265625" style="16" customWidth="1"/>
    <col min="5122" max="5122" width="21.54296875" style="16" customWidth="1"/>
    <col min="5123" max="5123" width="31.7265625" style="16" customWidth="1"/>
    <col min="5124" max="5124" width="17.7265625" style="16" customWidth="1"/>
    <col min="5125" max="5125" width="16.54296875" style="16" customWidth="1"/>
    <col min="5126" max="5376" width="8.7265625" style="16"/>
    <col min="5377" max="5377" width="6.7265625" style="16" customWidth="1"/>
    <col min="5378" max="5378" width="21.54296875" style="16" customWidth="1"/>
    <col min="5379" max="5379" width="31.7265625" style="16" customWidth="1"/>
    <col min="5380" max="5380" width="17.7265625" style="16" customWidth="1"/>
    <col min="5381" max="5381" width="16.54296875" style="16" customWidth="1"/>
    <col min="5382" max="5632" width="8.7265625" style="16"/>
    <col min="5633" max="5633" width="6.7265625" style="16" customWidth="1"/>
    <col min="5634" max="5634" width="21.54296875" style="16" customWidth="1"/>
    <col min="5635" max="5635" width="31.7265625" style="16" customWidth="1"/>
    <col min="5636" max="5636" width="17.7265625" style="16" customWidth="1"/>
    <col min="5637" max="5637" width="16.54296875" style="16" customWidth="1"/>
    <col min="5638" max="5888" width="8.7265625" style="16"/>
    <col min="5889" max="5889" width="6.7265625" style="16" customWidth="1"/>
    <col min="5890" max="5890" width="21.54296875" style="16" customWidth="1"/>
    <col min="5891" max="5891" width="31.7265625" style="16" customWidth="1"/>
    <col min="5892" max="5892" width="17.7265625" style="16" customWidth="1"/>
    <col min="5893" max="5893" width="16.54296875" style="16" customWidth="1"/>
    <col min="5894" max="6144" width="8.7265625" style="16"/>
    <col min="6145" max="6145" width="6.7265625" style="16" customWidth="1"/>
    <col min="6146" max="6146" width="21.54296875" style="16" customWidth="1"/>
    <col min="6147" max="6147" width="31.7265625" style="16" customWidth="1"/>
    <col min="6148" max="6148" width="17.7265625" style="16" customWidth="1"/>
    <col min="6149" max="6149" width="16.54296875" style="16" customWidth="1"/>
    <col min="6150" max="6400" width="8.7265625" style="16"/>
    <col min="6401" max="6401" width="6.7265625" style="16" customWidth="1"/>
    <col min="6402" max="6402" width="21.54296875" style="16" customWidth="1"/>
    <col min="6403" max="6403" width="31.7265625" style="16" customWidth="1"/>
    <col min="6404" max="6404" width="17.7265625" style="16" customWidth="1"/>
    <col min="6405" max="6405" width="16.54296875" style="16" customWidth="1"/>
    <col min="6406" max="6656" width="8.7265625" style="16"/>
    <col min="6657" max="6657" width="6.7265625" style="16" customWidth="1"/>
    <col min="6658" max="6658" width="21.54296875" style="16" customWidth="1"/>
    <col min="6659" max="6659" width="31.7265625" style="16" customWidth="1"/>
    <col min="6660" max="6660" width="17.7265625" style="16" customWidth="1"/>
    <col min="6661" max="6661" width="16.54296875" style="16" customWidth="1"/>
    <col min="6662" max="6912" width="8.7265625" style="16"/>
    <col min="6913" max="6913" width="6.7265625" style="16" customWidth="1"/>
    <col min="6914" max="6914" width="21.54296875" style="16" customWidth="1"/>
    <col min="6915" max="6915" width="31.7265625" style="16" customWidth="1"/>
    <col min="6916" max="6916" width="17.7265625" style="16" customWidth="1"/>
    <col min="6917" max="6917" width="16.54296875" style="16" customWidth="1"/>
    <col min="6918" max="7168" width="8.7265625" style="16"/>
    <col min="7169" max="7169" width="6.7265625" style="16" customWidth="1"/>
    <col min="7170" max="7170" width="21.54296875" style="16" customWidth="1"/>
    <col min="7171" max="7171" width="31.7265625" style="16" customWidth="1"/>
    <col min="7172" max="7172" width="17.7265625" style="16" customWidth="1"/>
    <col min="7173" max="7173" width="16.54296875" style="16" customWidth="1"/>
    <col min="7174" max="7424" width="8.7265625" style="16"/>
    <col min="7425" max="7425" width="6.7265625" style="16" customWidth="1"/>
    <col min="7426" max="7426" width="21.54296875" style="16" customWidth="1"/>
    <col min="7427" max="7427" width="31.7265625" style="16" customWidth="1"/>
    <col min="7428" max="7428" width="17.7265625" style="16" customWidth="1"/>
    <col min="7429" max="7429" width="16.54296875" style="16" customWidth="1"/>
    <col min="7430" max="7680" width="8.7265625" style="16"/>
    <col min="7681" max="7681" width="6.7265625" style="16" customWidth="1"/>
    <col min="7682" max="7682" width="21.54296875" style="16" customWidth="1"/>
    <col min="7683" max="7683" width="31.7265625" style="16" customWidth="1"/>
    <col min="7684" max="7684" width="17.7265625" style="16" customWidth="1"/>
    <col min="7685" max="7685" width="16.54296875" style="16" customWidth="1"/>
    <col min="7686" max="7936" width="8.7265625" style="16"/>
    <col min="7937" max="7937" width="6.7265625" style="16" customWidth="1"/>
    <col min="7938" max="7938" width="21.54296875" style="16" customWidth="1"/>
    <col min="7939" max="7939" width="31.7265625" style="16" customWidth="1"/>
    <col min="7940" max="7940" width="17.7265625" style="16" customWidth="1"/>
    <col min="7941" max="7941" width="16.54296875" style="16" customWidth="1"/>
    <col min="7942" max="8192" width="8.7265625" style="16"/>
    <col min="8193" max="8193" width="6.7265625" style="16" customWidth="1"/>
    <col min="8194" max="8194" width="21.54296875" style="16" customWidth="1"/>
    <col min="8195" max="8195" width="31.7265625" style="16" customWidth="1"/>
    <col min="8196" max="8196" width="17.7265625" style="16" customWidth="1"/>
    <col min="8197" max="8197" width="16.54296875" style="16" customWidth="1"/>
    <col min="8198" max="8448" width="8.7265625" style="16"/>
    <col min="8449" max="8449" width="6.7265625" style="16" customWidth="1"/>
    <col min="8450" max="8450" width="21.54296875" style="16" customWidth="1"/>
    <col min="8451" max="8451" width="31.7265625" style="16" customWidth="1"/>
    <col min="8452" max="8452" width="17.7265625" style="16" customWidth="1"/>
    <col min="8453" max="8453" width="16.54296875" style="16" customWidth="1"/>
    <col min="8454" max="8704" width="8.7265625" style="16"/>
    <col min="8705" max="8705" width="6.7265625" style="16" customWidth="1"/>
    <col min="8706" max="8706" width="21.54296875" style="16" customWidth="1"/>
    <col min="8707" max="8707" width="31.7265625" style="16" customWidth="1"/>
    <col min="8708" max="8708" width="17.7265625" style="16" customWidth="1"/>
    <col min="8709" max="8709" width="16.54296875" style="16" customWidth="1"/>
    <col min="8710" max="8960" width="8.7265625" style="16"/>
    <col min="8961" max="8961" width="6.7265625" style="16" customWidth="1"/>
    <col min="8962" max="8962" width="21.54296875" style="16" customWidth="1"/>
    <col min="8963" max="8963" width="31.7265625" style="16" customWidth="1"/>
    <col min="8964" max="8964" width="17.7265625" style="16" customWidth="1"/>
    <col min="8965" max="8965" width="16.54296875" style="16" customWidth="1"/>
    <col min="8966" max="9216" width="8.7265625" style="16"/>
    <col min="9217" max="9217" width="6.7265625" style="16" customWidth="1"/>
    <col min="9218" max="9218" width="21.54296875" style="16" customWidth="1"/>
    <col min="9219" max="9219" width="31.7265625" style="16" customWidth="1"/>
    <col min="9220" max="9220" width="17.7265625" style="16" customWidth="1"/>
    <col min="9221" max="9221" width="16.54296875" style="16" customWidth="1"/>
    <col min="9222" max="9472" width="8.7265625" style="16"/>
    <col min="9473" max="9473" width="6.7265625" style="16" customWidth="1"/>
    <col min="9474" max="9474" width="21.54296875" style="16" customWidth="1"/>
    <col min="9475" max="9475" width="31.7265625" style="16" customWidth="1"/>
    <col min="9476" max="9476" width="17.7265625" style="16" customWidth="1"/>
    <col min="9477" max="9477" width="16.54296875" style="16" customWidth="1"/>
    <col min="9478" max="9728" width="8.7265625" style="16"/>
    <col min="9729" max="9729" width="6.7265625" style="16" customWidth="1"/>
    <col min="9730" max="9730" width="21.54296875" style="16" customWidth="1"/>
    <col min="9731" max="9731" width="31.7265625" style="16" customWidth="1"/>
    <col min="9732" max="9732" width="17.7265625" style="16" customWidth="1"/>
    <col min="9733" max="9733" width="16.54296875" style="16" customWidth="1"/>
    <col min="9734" max="9984" width="8.7265625" style="16"/>
    <col min="9985" max="9985" width="6.7265625" style="16" customWidth="1"/>
    <col min="9986" max="9986" width="21.54296875" style="16" customWidth="1"/>
    <col min="9987" max="9987" width="31.7265625" style="16" customWidth="1"/>
    <col min="9988" max="9988" width="17.7265625" style="16" customWidth="1"/>
    <col min="9989" max="9989" width="16.54296875" style="16" customWidth="1"/>
    <col min="9990" max="10240" width="8.7265625" style="16"/>
    <col min="10241" max="10241" width="6.7265625" style="16" customWidth="1"/>
    <col min="10242" max="10242" width="21.54296875" style="16" customWidth="1"/>
    <col min="10243" max="10243" width="31.7265625" style="16" customWidth="1"/>
    <col min="10244" max="10244" width="17.7265625" style="16" customWidth="1"/>
    <col min="10245" max="10245" width="16.54296875" style="16" customWidth="1"/>
    <col min="10246" max="10496" width="8.7265625" style="16"/>
    <col min="10497" max="10497" width="6.7265625" style="16" customWidth="1"/>
    <col min="10498" max="10498" width="21.54296875" style="16" customWidth="1"/>
    <col min="10499" max="10499" width="31.7265625" style="16" customWidth="1"/>
    <col min="10500" max="10500" width="17.7265625" style="16" customWidth="1"/>
    <col min="10501" max="10501" width="16.54296875" style="16" customWidth="1"/>
    <col min="10502" max="10752" width="8.7265625" style="16"/>
    <col min="10753" max="10753" width="6.7265625" style="16" customWidth="1"/>
    <col min="10754" max="10754" width="21.54296875" style="16" customWidth="1"/>
    <col min="10755" max="10755" width="31.7265625" style="16" customWidth="1"/>
    <col min="10756" max="10756" width="17.7265625" style="16" customWidth="1"/>
    <col min="10757" max="10757" width="16.54296875" style="16" customWidth="1"/>
    <col min="10758" max="11008" width="8.7265625" style="16"/>
    <col min="11009" max="11009" width="6.7265625" style="16" customWidth="1"/>
    <col min="11010" max="11010" width="21.54296875" style="16" customWidth="1"/>
    <col min="11011" max="11011" width="31.7265625" style="16" customWidth="1"/>
    <col min="11012" max="11012" width="17.7265625" style="16" customWidth="1"/>
    <col min="11013" max="11013" width="16.54296875" style="16" customWidth="1"/>
    <col min="11014" max="11264" width="8.7265625" style="16"/>
    <col min="11265" max="11265" width="6.7265625" style="16" customWidth="1"/>
    <col min="11266" max="11266" width="21.54296875" style="16" customWidth="1"/>
    <col min="11267" max="11267" width="31.7265625" style="16" customWidth="1"/>
    <col min="11268" max="11268" width="17.7265625" style="16" customWidth="1"/>
    <col min="11269" max="11269" width="16.54296875" style="16" customWidth="1"/>
    <col min="11270" max="11520" width="8.7265625" style="16"/>
    <col min="11521" max="11521" width="6.7265625" style="16" customWidth="1"/>
    <col min="11522" max="11522" width="21.54296875" style="16" customWidth="1"/>
    <col min="11523" max="11523" width="31.7265625" style="16" customWidth="1"/>
    <col min="11524" max="11524" width="17.7265625" style="16" customWidth="1"/>
    <col min="11525" max="11525" width="16.54296875" style="16" customWidth="1"/>
    <col min="11526" max="11776" width="8.7265625" style="16"/>
    <col min="11777" max="11777" width="6.7265625" style="16" customWidth="1"/>
    <col min="11778" max="11778" width="21.54296875" style="16" customWidth="1"/>
    <col min="11779" max="11779" width="31.7265625" style="16" customWidth="1"/>
    <col min="11780" max="11780" width="17.7265625" style="16" customWidth="1"/>
    <col min="11781" max="11781" width="16.54296875" style="16" customWidth="1"/>
    <col min="11782" max="12032" width="8.7265625" style="16"/>
    <col min="12033" max="12033" width="6.7265625" style="16" customWidth="1"/>
    <col min="12034" max="12034" width="21.54296875" style="16" customWidth="1"/>
    <col min="12035" max="12035" width="31.7265625" style="16" customWidth="1"/>
    <col min="12036" max="12036" width="17.7265625" style="16" customWidth="1"/>
    <col min="12037" max="12037" width="16.54296875" style="16" customWidth="1"/>
    <col min="12038" max="12288" width="8.7265625" style="16"/>
    <col min="12289" max="12289" width="6.7265625" style="16" customWidth="1"/>
    <col min="12290" max="12290" width="21.54296875" style="16" customWidth="1"/>
    <col min="12291" max="12291" width="31.7265625" style="16" customWidth="1"/>
    <col min="12292" max="12292" width="17.7265625" style="16" customWidth="1"/>
    <col min="12293" max="12293" width="16.54296875" style="16" customWidth="1"/>
    <col min="12294" max="12544" width="8.7265625" style="16"/>
    <col min="12545" max="12545" width="6.7265625" style="16" customWidth="1"/>
    <col min="12546" max="12546" width="21.54296875" style="16" customWidth="1"/>
    <col min="12547" max="12547" width="31.7265625" style="16" customWidth="1"/>
    <col min="12548" max="12548" width="17.7265625" style="16" customWidth="1"/>
    <col min="12549" max="12549" width="16.54296875" style="16" customWidth="1"/>
    <col min="12550" max="12800" width="8.7265625" style="16"/>
    <col min="12801" max="12801" width="6.7265625" style="16" customWidth="1"/>
    <col min="12802" max="12802" width="21.54296875" style="16" customWidth="1"/>
    <col min="12803" max="12803" width="31.7265625" style="16" customWidth="1"/>
    <col min="12804" max="12804" width="17.7265625" style="16" customWidth="1"/>
    <col min="12805" max="12805" width="16.54296875" style="16" customWidth="1"/>
    <col min="12806" max="13056" width="8.7265625" style="16"/>
    <col min="13057" max="13057" width="6.7265625" style="16" customWidth="1"/>
    <col min="13058" max="13058" width="21.54296875" style="16" customWidth="1"/>
    <col min="13059" max="13059" width="31.7265625" style="16" customWidth="1"/>
    <col min="13060" max="13060" width="17.7265625" style="16" customWidth="1"/>
    <col min="13061" max="13061" width="16.54296875" style="16" customWidth="1"/>
    <col min="13062" max="13312" width="8.7265625" style="16"/>
    <col min="13313" max="13313" width="6.7265625" style="16" customWidth="1"/>
    <col min="13314" max="13314" width="21.54296875" style="16" customWidth="1"/>
    <col min="13315" max="13315" width="31.7265625" style="16" customWidth="1"/>
    <col min="13316" max="13316" width="17.7265625" style="16" customWidth="1"/>
    <col min="13317" max="13317" width="16.54296875" style="16" customWidth="1"/>
    <col min="13318" max="13568" width="8.7265625" style="16"/>
    <col min="13569" max="13569" width="6.7265625" style="16" customWidth="1"/>
    <col min="13570" max="13570" width="21.54296875" style="16" customWidth="1"/>
    <col min="13571" max="13571" width="31.7265625" style="16" customWidth="1"/>
    <col min="13572" max="13572" width="17.7265625" style="16" customWidth="1"/>
    <col min="13573" max="13573" width="16.54296875" style="16" customWidth="1"/>
    <col min="13574" max="13824" width="8.7265625" style="16"/>
    <col min="13825" max="13825" width="6.7265625" style="16" customWidth="1"/>
    <col min="13826" max="13826" width="21.54296875" style="16" customWidth="1"/>
    <col min="13827" max="13827" width="31.7265625" style="16" customWidth="1"/>
    <col min="13828" max="13828" width="17.7265625" style="16" customWidth="1"/>
    <col min="13829" max="13829" width="16.54296875" style="16" customWidth="1"/>
    <col min="13830" max="14080" width="8.7265625" style="16"/>
    <col min="14081" max="14081" width="6.7265625" style="16" customWidth="1"/>
    <col min="14082" max="14082" width="21.54296875" style="16" customWidth="1"/>
    <col min="14083" max="14083" width="31.7265625" style="16" customWidth="1"/>
    <col min="14084" max="14084" width="17.7265625" style="16" customWidth="1"/>
    <col min="14085" max="14085" width="16.54296875" style="16" customWidth="1"/>
    <col min="14086" max="14336" width="8.7265625" style="16"/>
    <col min="14337" max="14337" width="6.7265625" style="16" customWidth="1"/>
    <col min="14338" max="14338" width="21.54296875" style="16" customWidth="1"/>
    <col min="14339" max="14339" width="31.7265625" style="16" customWidth="1"/>
    <col min="14340" max="14340" width="17.7265625" style="16" customWidth="1"/>
    <col min="14341" max="14341" width="16.54296875" style="16" customWidth="1"/>
    <col min="14342" max="14592" width="8.7265625" style="16"/>
    <col min="14593" max="14593" width="6.7265625" style="16" customWidth="1"/>
    <col min="14594" max="14594" width="21.54296875" style="16" customWidth="1"/>
    <col min="14595" max="14595" width="31.7265625" style="16" customWidth="1"/>
    <col min="14596" max="14596" width="17.7265625" style="16" customWidth="1"/>
    <col min="14597" max="14597" width="16.54296875" style="16" customWidth="1"/>
    <col min="14598" max="14848" width="8.7265625" style="16"/>
    <col min="14849" max="14849" width="6.7265625" style="16" customWidth="1"/>
    <col min="14850" max="14850" width="21.54296875" style="16" customWidth="1"/>
    <col min="14851" max="14851" width="31.7265625" style="16" customWidth="1"/>
    <col min="14852" max="14852" width="17.7265625" style="16" customWidth="1"/>
    <col min="14853" max="14853" width="16.54296875" style="16" customWidth="1"/>
    <col min="14854" max="15104" width="8.7265625" style="16"/>
    <col min="15105" max="15105" width="6.7265625" style="16" customWidth="1"/>
    <col min="15106" max="15106" width="21.54296875" style="16" customWidth="1"/>
    <col min="15107" max="15107" width="31.7265625" style="16" customWidth="1"/>
    <col min="15108" max="15108" width="17.7265625" style="16" customWidth="1"/>
    <col min="15109" max="15109" width="16.54296875" style="16" customWidth="1"/>
    <col min="15110" max="15360" width="8.7265625" style="16"/>
    <col min="15361" max="15361" width="6.7265625" style="16" customWidth="1"/>
    <col min="15362" max="15362" width="21.54296875" style="16" customWidth="1"/>
    <col min="15363" max="15363" width="31.7265625" style="16" customWidth="1"/>
    <col min="15364" max="15364" width="17.7265625" style="16" customWidth="1"/>
    <col min="15365" max="15365" width="16.54296875" style="16" customWidth="1"/>
    <col min="15366" max="15616" width="8.7265625" style="16"/>
    <col min="15617" max="15617" width="6.7265625" style="16" customWidth="1"/>
    <col min="15618" max="15618" width="21.54296875" style="16" customWidth="1"/>
    <col min="15619" max="15619" width="31.7265625" style="16" customWidth="1"/>
    <col min="15620" max="15620" width="17.7265625" style="16" customWidth="1"/>
    <col min="15621" max="15621" width="16.54296875" style="16" customWidth="1"/>
    <col min="15622" max="15872" width="8.7265625" style="16"/>
    <col min="15873" max="15873" width="6.7265625" style="16" customWidth="1"/>
    <col min="15874" max="15874" width="21.54296875" style="16" customWidth="1"/>
    <col min="15875" max="15875" width="31.7265625" style="16" customWidth="1"/>
    <col min="15876" max="15876" width="17.7265625" style="16" customWidth="1"/>
    <col min="15877" max="15877" width="16.54296875" style="16" customWidth="1"/>
    <col min="15878" max="16128" width="8.7265625" style="16"/>
    <col min="16129" max="16129" width="6.7265625" style="16" customWidth="1"/>
    <col min="16130" max="16130" width="21.54296875" style="16" customWidth="1"/>
    <col min="16131" max="16131" width="31.7265625" style="16" customWidth="1"/>
    <col min="16132" max="16132" width="17.7265625" style="16" customWidth="1"/>
    <col min="16133" max="16133" width="16.54296875" style="16" customWidth="1"/>
    <col min="16134" max="16384" width="8.7265625" style="16"/>
  </cols>
  <sheetData>
    <row r="1" spans="1:5" ht="17.5" x14ac:dyDescent="0.35">
      <c r="A1" s="168" t="s">
        <v>138</v>
      </c>
      <c r="B1" s="168"/>
      <c r="C1" s="168"/>
      <c r="D1" s="168"/>
      <c r="E1" s="168"/>
    </row>
    <row r="2" spans="1:5" ht="35.25" customHeight="1" x14ac:dyDescent="0.25">
      <c r="A2" s="160" t="s">
        <v>139</v>
      </c>
      <c r="B2" s="173"/>
      <c r="C2" s="173"/>
      <c r="D2" s="173"/>
      <c r="E2" s="173"/>
    </row>
    <row r="3" spans="1:5" ht="168.75" customHeight="1" x14ac:dyDescent="0.25">
      <c r="A3" s="64" t="s">
        <v>133</v>
      </c>
      <c r="B3" s="66" t="s">
        <v>140</v>
      </c>
      <c r="C3" s="66" t="s">
        <v>141</v>
      </c>
      <c r="D3" s="66" t="s">
        <v>142</v>
      </c>
      <c r="E3" s="66" t="s">
        <v>143</v>
      </c>
    </row>
    <row r="4" spans="1:5" x14ac:dyDescent="0.25">
      <c r="A4" s="65">
        <v>1</v>
      </c>
      <c r="B4" s="65">
        <v>2</v>
      </c>
      <c r="C4" s="65">
        <v>3</v>
      </c>
      <c r="D4" s="65">
        <v>4</v>
      </c>
      <c r="E4" s="65">
        <v>5</v>
      </c>
    </row>
    <row r="5" spans="1:5" ht="30" customHeight="1" x14ac:dyDescent="0.25">
      <c r="A5" s="65"/>
      <c r="B5" s="65"/>
      <c r="C5" s="65"/>
      <c r="D5" s="65"/>
      <c r="E5" s="65"/>
    </row>
    <row r="6" spans="1:5" ht="30" customHeight="1" x14ac:dyDescent="0.25">
      <c r="A6" s="65"/>
      <c r="B6" s="65"/>
      <c r="C6" s="65"/>
      <c r="D6" s="65"/>
      <c r="E6" s="65"/>
    </row>
    <row r="7" spans="1:5" ht="30" customHeight="1" x14ac:dyDescent="0.25">
      <c r="A7" s="65"/>
      <c r="B7" s="65"/>
      <c r="C7" s="65"/>
      <c r="D7" s="65"/>
      <c r="E7" s="65"/>
    </row>
    <row r="8" spans="1:5" ht="30" customHeight="1" x14ac:dyDescent="0.25">
      <c r="A8" s="65"/>
      <c r="B8" s="65"/>
      <c r="C8" s="65"/>
      <c r="D8" s="65"/>
      <c r="E8" s="65"/>
    </row>
    <row r="9" spans="1:5" ht="30" customHeight="1" x14ac:dyDescent="0.25">
      <c r="A9" s="65"/>
      <c r="B9" s="65"/>
      <c r="C9" s="65"/>
      <c r="D9" s="65"/>
      <c r="E9" s="65"/>
    </row>
    <row r="10" spans="1:5" ht="30" customHeight="1" x14ac:dyDescent="0.25">
      <c r="A10" s="65"/>
      <c r="B10" s="65"/>
      <c r="C10" s="65"/>
      <c r="D10" s="65"/>
      <c r="E10" s="65"/>
    </row>
    <row r="11" spans="1:5" ht="30" customHeight="1" x14ac:dyDescent="0.25">
      <c r="A11" s="65"/>
      <c r="B11" s="65"/>
      <c r="C11" s="65"/>
      <c r="D11" s="65"/>
      <c r="E11" s="65"/>
    </row>
    <row r="12" spans="1:5" ht="30" customHeight="1" x14ac:dyDescent="0.25">
      <c r="A12" s="65"/>
      <c r="B12" s="65"/>
      <c r="C12" s="65"/>
      <c r="D12" s="65"/>
      <c r="E12" s="65"/>
    </row>
    <row r="13" spans="1:5" ht="30" customHeight="1" x14ac:dyDescent="0.25">
      <c r="A13" s="65"/>
      <c r="B13" s="65"/>
      <c r="C13" s="65"/>
      <c r="D13" s="65"/>
      <c r="E13" s="65"/>
    </row>
    <row r="14" spans="1:5" ht="30" customHeight="1" x14ac:dyDescent="0.25">
      <c r="A14" s="65"/>
      <c r="B14" s="65"/>
      <c r="C14" s="65"/>
      <c r="D14" s="65"/>
      <c r="E14" s="65"/>
    </row>
    <row r="15" spans="1:5" ht="30" customHeight="1" x14ac:dyDescent="0.25">
      <c r="A15" s="65"/>
      <c r="B15" s="65"/>
      <c r="C15" s="65"/>
      <c r="D15" s="65"/>
      <c r="E15" s="65"/>
    </row>
    <row r="16" spans="1:5" ht="30" customHeight="1" x14ac:dyDescent="0.25">
      <c r="A16" s="65"/>
      <c r="B16" s="65"/>
      <c r="C16" s="65"/>
      <c r="D16" s="65"/>
      <c r="E16" s="65"/>
    </row>
    <row r="17" spans="1:5" ht="30" customHeight="1" x14ac:dyDescent="0.25">
      <c r="A17" s="65"/>
      <c r="B17" s="65"/>
      <c r="C17" s="65"/>
      <c r="D17" s="65"/>
      <c r="E17" s="65"/>
    </row>
    <row r="18" spans="1:5" ht="30" customHeight="1" x14ac:dyDescent="0.25">
      <c r="A18" s="65"/>
      <c r="B18" s="65"/>
      <c r="C18" s="65"/>
      <c r="D18" s="65"/>
      <c r="E18" s="65"/>
    </row>
    <row r="19" spans="1:5" ht="30" customHeight="1" x14ac:dyDescent="0.25">
      <c r="A19" s="65"/>
      <c r="B19" s="65"/>
      <c r="C19" s="65"/>
      <c r="D19" s="65"/>
      <c r="E19" s="65"/>
    </row>
    <row r="20" spans="1:5" ht="30" customHeight="1" x14ac:dyDescent="0.25">
      <c r="A20" s="65"/>
      <c r="B20" s="65"/>
      <c r="C20" s="65"/>
      <c r="D20" s="65"/>
      <c r="E20" s="65"/>
    </row>
    <row r="21" spans="1:5" ht="30" customHeight="1" x14ac:dyDescent="0.25">
      <c r="A21" s="65"/>
      <c r="B21" s="65"/>
      <c r="C21" s="65"/>
      <c r="D21" s="65"/>
      <c r="E21" s="65"/>
    </row>
    <row r="22" spans="1:5" ht="30" customHeight="1" x14ac:dyDescent="0.25">
      <c r="A22" s="65"/>
      <c r="B22" s="65"/>
      <c r="C22" s="65"/>
      <c r="D22" s="65"/>
      <c r="E22" s="65"/>
    </row>
    <row r="23" spans="1:5" ht="30" customHeight="1" x14ac:dyDescent="0.25">
      <c r="A23" s="65"/>
      <c r="B23" s="65"/>
      <c r="C23" s="65"/>
      <c r="D23" s="65"/>
      <c r="E23" s="65"/>
    </row>
    <row r="24" spans="1:5" ht="30" customHeight="1" x14ac:dyDescent="0.25">
      <c r="A24" s="65"/>
      <c r="B24" s="65"/>
      <c r="C24" s="65"/>
      <c r="D24" s="65"/>
      <c r="E24" s="65"/>
    </row>
    <row r="25" spans="1:5" ht="30" customHeight="1" x14ac:dyDescent="0.25">
      <c r="A25" s="65"/>
      <c r="B25" s="65"/>
      <c r="C25" s="65"/>
      <c r="D25" s="65"/>
      <c r="E25" s="65"/>
    </row>
    <row r="26" spans="1:5" ht="30" customHeight="1" x14ac:dyDescent="0.25">
      <c r="A26" s="65"/>
      <c r="B26" s="65"/>
      <c r="C26" s="65"/>
      <c r="D26" s="65"/>
      <c r="E26" s="65"/>
    </row>
    <row r="27" spans="1:5" ht="30" customHeight="1" x14ac:dyDescent="0.25">
      <c r="A27" s="65"/>
      <c r="B27" s="65"/>
      <c r="C27" s="65"/>
      <c r="D27" s="65"/>
      <c r="E27" s="65"/>
    </row>
    <row r="28" spans="1:5" ht="30" customHeight="1" x14ac:dyDescent="0.25">
      <c r="A28" s="65"/>
      <c r="B28" s="65"/>
      <c r="C28" s="65"/>
      <c r="D28" s="65"/>
      <c r="E28" s="65"/>
    </row>
    <row r="29" spans="1:5" ht="30" customHeight="1" x14ac:dyDescent="0.25">
      <c r="A29" s="65"/>
      <c r="B29" s="65"/>
      <c r="C29" s="65"/>
      <c r="D29" s="65"/>
      <c r="E29" s="65"/>
    </row>
    <row r="30" spans="1:5" ht="30" customHeight="1" x14ac:dyDescent="0.25">
      <c r="A30" s="65"/>
      <c r="B30" s="65"/>
      <c r="C30" s="65"/>
      <c r="D30" s="65"/>
      <c r="E30" s="65"/>
    </row>
    <row r="31" spans="1:5" ht="30" customHeight="1" x14ac:dyDescent="0.25">
      <c r="A31" s="65"/>
      <c r="B31" s="65"/>
      <c r="C31" s="65"/>
      <c r="D31" s="65"/>
      <c r="E31" s="65"/>
    </row>
    <row r="32" spans="1:5" ht="30" customHeight="1" x14ac:dyDescent="0.25">
      <c r="A32" s="65"/>
      <c r="B32" s="65"/>
      <c r="C32" s="65"/>
      <c r="D32" s="65"/>
      <c r="E32" s="65"/>
    </row>
    <row r="33" spans="1:5" ht="30" customHeight="1" x14ac:dyDescent="0.25">
      <c r="A33" s="65"/>
      <c r="B33" s="65"/>
      <c r="C33" s="65"/>
      <c r="D33" s="65"/>
      <c r="E33" s="65"/>
    </row>
    <row r="34" spans="1:5" ht="30" customHeight="1" x14ac:dyDescent="0.25">
      <c r="A34" s="65"/>
      <c r="B34" s="65"/>
      <c r="C34" s="65"/>
      <c r="D34" s="65"/>
      <c r="E34" s="65"/>
    </row>
    <row r="35" spans="1:5" ht="30" customHeight="1" x14ac:dyDescent="0.25">
      <c r="A35" s="65"/>
      <c r="B35" s="65"/>
      <c r="C35" s="65"/>
      <c r="D35" s="65"/>
      <c r="E35" s="65"/>
    </row>
    <row r="36" spans="1:5" ht="30" customHeight="1" x14ac:dyDescent="0.25">
      <c r="A36" s="65"/>
      <c r="B36" s="65"/>
      <c r="C36" s="65"/>
      <c r="D36" s="65"/>
      <c r="E36" s="65"/>
    </row>
    <row r="37" spans="1:5" ht="30" customHeight="1" x14ac:dyDescent="0.25">
      <c r="A37" s="65"/>
      <c r="B37" s="65"/>
      <c r="C37" s="65"/>
      <c r="D37" s="65"/>
      <c r="E37" s="65"/>
    </row>
    <row r="38" spans="1:5" ht="30" customHeight="1" x14ac:dyDescent="0.25">
      <c r="A38" s="65"/>
      <c r="B38" s="65"/>
      <c r="C38" s="65"/>
      <c r="D38" s="65"/>
      <c r="E38" s="65"/>
    </row>
    <row r="39" spans="1:5" ht="30" customHeight="1" x14ac:dyDescent="0.25">
      <c r="A39" s="65"/>
      <c r="B39" s="65"/>
      <c r="C39" s="65"/>
      <c r="D39" s="65"/>
      <c r="E39" s="65"/>
    </row>
    <row r="40" spans="1:5" ht="30" customHeight="1" x14ac:dyDescent="0.25">
      <c r="A40" s="65"/>
      <c r="B40" s="65"/>
      <c r="C40" s="65"/>
      <c r="D40" s="65"/>
      <c r="E40" s="65"/>
    </row>
    <row r="41" spans="1:5" ht="30" customHeight="1" x14ac:dyDescent="0.25">
      <c r="A41" s="65"/>
      <c r="B41" s="65"/>
      <c r="C41" s="65"/>
      <c r="D41" s="65"/>
      <c r="E41" s="65"/>
    </row>
    <row r="42" spans="1:5" ht="30" customHeight="1" x14ac:dyDescent="0.25">
      <c r="A42" s="65"/>
      <c r="B42" s="65"/>
      <c r="C42" s="65"/>
      <c r="D42" s="65"/>
      <c r="E42" s="65"/>
    </row>
  </sheetData>
  <mergeCells count="2">
    <mergeCell ref="A1:E1"/>
    <mergeCell ref="A2:E2"/>
  </mergeCells>
  <pageMargins left="0.78740157480314965" right="0.19685039370078741" top="0.39370078740157483" bottom="0.39370078740157483" header="0.51181102362204722" footer="0.51181102362204722"/>
  <pageSetup paperSize="9" scale="93" fitToHeight="0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1">
    <tabColor rgb="FF0066FF"/>
    <pageSetUpPr fitToPage="1"/>
  </sheetPr>
  <dimension ref="A1:F19"/>
  <sheetViews>
    <sheetView showGridLines="0" zoomScaleNormal="100" workbookViewId="0">
      <pane ySplit="4" topLeftCell="A5" activePane="bottomLeft" state="frozen"/>
      <selection activeCell="F20" sqref="F20"/>
      <selection pane="bottomLeft" activeCell="A5" sqref="A5"/>
    </sheetView>
  </sheetViews>
  <sheetFormatPr defaultRowHeight="14.5" x14ac:dyDescent="0.35"/>
  <cols>
    <col min="1" max="1" width="7.7265625" customWidth="1"/>
    <col min="2" max="2" width="11.7265625" customWidth="1"/>
    <col min="3" max="3" width="14" customWidth="1"/>
    <col min="4" max="4" width="73" customWidth="1"/>
    <col min="5" max="5" width="25.54296875" customWidth="1"/>
    <col min="6" max="6" width="32.26953125" customWidth="1"/>
  </cols>
  <sheetData>
    <row r="1" spans="1:6" ht="17.5" x14ac:dyDescent="0.35">
      <c r="A1" s="175" t="s">
        <v>0</v>
      </c>
      <c r="B1" s="175"/>
      <c r="C1" s="175"/>
      <c r="D1" s="175"/>
      <c r="E1" s="8"/>
      <c r="F1" s="3"/>
    </row>
    <row r="2" spans="1:6" ht="34.4" customHeight="1" x14ac:dyDescent="0.35">
      <c r="A2" s="174" t="s">
        <v>1</v>
      </c>
      <c r="B2" s="174"/>
      <c r="C2" s="174"/>
      <c r="D2" s="174"/>
      <c r="E2" s="10"/>
      <c r="F2" s="2"/>
    </row>
    <row r="3" spans="1:6" ht="113.75" customHeight="1" x14ac:dyDescent="0.35">
      <c r="A3" s="71" t="s">
        <v>166</v>
      </c>
      <c r="B3" s="72" t="s">
        <v>2</v>
      </c>
      <c r="C3" s="71" t="s">
        <v>18</v>
      </c>
      <c r="D3" s="71" t="s">
        <v>17</v>
      </c>
      <c r="E3" s="71" t="s">
        <v>19</v>
      </c>
    </row>
    <row r="4" spans="1:6" x14ac:dyDescent="0.35">
      <c r="A4" s="73" t="s">
        <v>3</v>
      </c>
      <c r="B4" s="73" t="s">
        <v>4</v>
      </c>
      <c r="C4" s="73" t="s">
        <v>5</v>
      </c>
      <c r="D4" s="73" t="s">
        <v>6</v>
      </c>
      <c r="E4" s="73" t="s">
        <v>21</v>
      </c>
    </row>
    <row r="5" spans="1:6" ht="58" x14ac:dyDescent="0.35">
      <c r="A5" s="1">
        <v>1</v>
      </c>
      <c r="B5" s="6">
        <v>45369</v>
      </c>
      <c r="C5" s="12" t="s">
        <v>175</v>
      </c>
      <c r="D5" s="7" t="s">
        <v>184</v>
      </c>
      <c r="E5" s="11" t="s">
        <v>185</v>
      </c>
    </row>
    <row r="6" spans="1:6" ht="58" x14ac:dyDescent="0.35">
      <c r="A6" s="1">
        <v>2</v>
      </c>
      <c r="B6" s="6">
        <v>45370</v>
      </c>
      <c r="C6" s="12" t="s">
        <v>175</v>
      </c>
      <c r="D6" s="7" t="s">
        <v>184</v>
      </c>
      <c r="E6" s="11" t="s">
        <v>185</v>
      </c>
    </row>
    <row r="7" spans="1:6" ht="58" x14ac:dyDescent="0.35">
      <c r="A7" s="1">
        <v>3</v>
      </c>
      <c r="B7" s="6">
        <v>45371</v>
      </c>
      <c r="C7" s="12" t="s">
        <v>175</v>
      </c>
      <c r="D7" s="7" t="s">
        <v>184</v>
      </c>
      <c r="E7" s="11" t="s">
        <v>185</v>
      </c>
    </row>
    <row r="8" spans="1:6" ht="58" x14ac:dyDescent="0.35">
      <c r="A8" s="1">
        <v>4</v>
      </c>
      <c r="B8" s="6">
        <v>45372</v>
      </c>
      <c r="C8" s="12" t="s">
        <v>175</v>
      </c>
      <c r="D8" s="7" t="s">
        <v>184</v>
      </c>
      <c r="E8" s="11" t="s">
        <v>185</v>
      </c>
    </row>
    <row r="9" spans="1:6" ht="72.5" x14ac:dyDescent="0.35">
      <c r="A9" s="1">
        <v>5</v>
      </c>
      <c r="B9" s="6">
        <v>45373</v>
      </c>
      <c r="C9" s="12" t="s">
        <v>175</v>
      </c>
      <c r="D9" s="7" t="s">
        <v>186</v>
      </c>
      <c r="E9" s="11" t="s">
        <v>185</v>
      </c>
    </row>
    <row r="10" spans="1:6" ht="72.5" x14ac:dyDescent="0.35">
      <c r="A10" s="1">
        <v>6</v>
      </c>
      <c r="B10" s="6">
        <v>45374</v>
      </c>
      <c r="C10" s="12" t="s">
        <v>175</v>
      </c>
      <c r="D10" s="7" t="s">
        <v>186</v>
      </c>
      <c r="E10" s="11" t="s">
        <v>185</v>
      </c>
    </row>
    <row r="11" spans="1:6" ht="72.5" x14ac:dyDescent="0.35">
      <c r="A11" s="1">
        <v>7</v>
      </c>
      <c r="B11" s="6">
        <v>45375</v>
      </c>
      <c r="C11" s="12" t="s">
        <v>175</v>
      </c>
      <c r="D11" s="7" t="s">
        <v>186</v>
      </c>
      <c r="E11" s="11" t="s">
        <v>185</v>
      </c>
    </row>
    <row r="12" spans="1:6" ht="87" x14ac:dyDescent="0.35">
      <c r="A12" s="1">
        <v>8</v>
      </c>
      <c r="B12" s="6">
        <v>45376</v>
      </c>
      <c r="C12" s="12" t="s">
        <v>175</v>
      </c>
      <c r="D12" s="7" t="s">
        <v>187</v>
      </c>
      <c r="E12" s="11" t="s">
        <v>185</v>
      </c>
    </row>
    <row r="13" spans="1:6" ht="58" x14ac:dyDescent="0.35">
      <c r="A13" s="1">
        <v>9</v>
      </c>
      <c r="B13" s="6">
        <v>45377</v>
      </c>
      <c r="C13" s="12" t="s">
        <v>175</v>
      </c>
      <c r="D13" s="7" t="s">
        <v>188</v>
      </c>
      <c r="E13" s="11" t="s">
        <v>185</v>
      </c>
    </row>
    <row r="14" spans="1:6" ht="58" x14ac:dyDescent="0.35">
      <c r="A14" s="1">
        <v>10</v>
      </c>
      <c r="B14" s="6">
        <v>45378</v>
      </c>
      <c r="C14" s="12" t="s">
        <v>175</v>
      </c>
      <c r="D14" s="7" t="s">
        <v>188</v>
      </c>
      <c r="E14" s="11" t="s">
        <v>185</v>
      </c>
    </row>
    <row r="15" spans="1:6" ht="58" x14ac:dyDescent="0.35">
      <c r="A15" s="1">
        <v>11</v>
      </c>
      <c r="B15" s="6">
        <v>45379</v>
      </c>
      <c r="C15" s="12" t="s">
        <v>175</v>
      </c>
      <c r="D15" s="7" t="s">
        <v>188</v>
      </c>
      <c r="E15" s="11" t="s">
        <v>185</v>
      </c>
    </row>
    <row r="16" spans="1:6" ht="58" x14ac:dyDescent="0.35">
      <c r="A16" s="1">
        <v>12</v>
      </c>
      <c r="B16" s="6">
        <v>45380</v>
      </c>
      <c r="C16" s="12" t="s">
        <v>175</v>
      </c>
      <c r="D16" s="7" t="s">
        <v>188</v>
      </c>
      <c r="E16" s="11" t="s">
        <v>185</v>
      </c>
    </row>
    <row r="17" spans="1:5" ht="58" x14ac:dyDescent="0.35">
      <c r="A17" s="1">
        <v>13</v>
      </c>
      <c r="B17" s="6">
        <v>45381</v>
      </c>
      <c r="C17" s="12" t="s">
        <v>175</v>
      </c>
      <c r="D17" s="7" t="s">
        <v>188</v>
      </c>
      <c r="E17" s="11" t="s">
        <v>185</v>
      </c>
    </row>
    <row r="18" spans="1:5" ht="58" x14ac:dyDescent="0.35">
      <c r="A18" s="1">
        <v>14</v>
      </c>
      <c r="B18" s="6">
        <v>45382</v>
      </c>
      <c r="C18" s="12" t="s">
        <v>175</v>
      </c>
      <c r="D18" s="7" t="s">
        <v>188</v>
      </c>
      <c r="E18" s="11" t="s">
        <v>185</v>
      </c>
    </row>
    <row r="19" spans="1:5" ht="58" x14ac:dyDescent="0.35">
      <c r="A19" s="1">
        <v>15</v>
      </c>
      <c r="B19" s="6">
        <v>45383</v>
      </c>
      <c r="C19" s="12" t="s">
        <v>175</v>
      </c>
      <c r="D19" s="7" t="s">
        <v>189</v>
      </c>
      <c r="E19" s="11" t="s">
        <v>185</v>
      </c>
    </row>
  </sheetData>
  <mergeCells count="2">
    <mergeCell ref="A2:D2"/>
    <mergeCell ref="A1:D1"/>
  </mergeCells>
  <phoneticPr fontId="8" type="noConversion"/>
  <pageMargins left="0.39370078740157483" right="0.39370078740157483" top="0.51181102362204722" bottom="0.74803149606299213" header="0.31496062992125984" footer="0.31496062992125984"/>
  <pageSetup paperSize="9" scale="71" fitToHeight="0"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12">
    <pageSetUpPr fitToPage="1"/>
  </sheetPr>
  <dimension ref="A1:E64"/>
  <sheetViews>
    <sheetView workbookViewId="0">
      <pane ySplit="1" topLeftCell="A2" activePane="bottomLeft" state="frozen"/>
      <selection pane="bottomLeft" activeCell="K4" sqref="K4"/>
    </sheetView>
  </sheetViews>
  <sheetFormatPr defaultRowHeight="14.5" x14ac:dyDescent="0.35"/>
  <cols>
    <col min="1" max="1" width="12.26953125" customWidth="1"/>
    <col min="2" max="2" width="20.453125" customWidth="1"/>
    <col min="3" max="3" width="11.08984375" customWidth="1"/>
    <col min="4" max="4" width="45.81640625" customWidth="1"/>
    <col min="5" max="5" width="37.7265625" customWidth="1"/>
  </cols>
  <sheetData>
    <row r="1" spans="1:5" ht="43.5" x14ac:dyDescent="0.35">
      <c r="A1" s="96" t="s">
        <v>176</v>
      </c>
      <c r="B1" s="99" t="s">
        <v>179</v>
      </c>
      <c r="C1" s="94" t="s">
        <v>18</v>
      </c>
      <c r="D1" s="96" t="s">
        <v>177</v>
      </c>
      <c r="E1" s="97" t="s">
        <v>178</v>
      </c>
    </row>
    <row r="2" spans="1:5" ht="58" x14ac:dyDescent="0.35">
      <c r="A2" s="89">
        <v>45369</v>
      </c>
      <c r="B2" s="92" t="s">
        <v>181</v>
      </c>
      <c r="C2" s="87" t="s">
        <v>46</v>
      </c>
      <c r="D2" s="92" t="s">
        <v>198</v>
      </c>
      <c r="E2" s="90" t="s">
        <v>185</v>
      </c>
    </row>
    <row r="3" spans="1:5" ht="58" x14ac:dyDescent="0.35">
      <c r="A3" s="88"/>
      <c r="B3" s="92" t="s">
        <v>182</v>
      </c>
      <c r="C3" s="87" t="s">
        <v>46</v>
      </c>
      <c r="D3" s="92" t="s">
        <v>198</v>
      </c>
      <c r="E3" s="90" t="s">
        <v>185</v>
      </c>
    </row>
    <row r="4" spans="1:5" ht="58" x14ac:dyDescent="0.35">
      <c r="A4" s="88"/>
      <c r="B4" s="92" t="s">
        <v>183</v>
      </c>
      <c r="C4" s="87" t="s">
        <v>46</v>
      </c>
      <c r="D4" s="92" t="s">
        <v>198</v>
      </c>
      <c r="E4" s="90" t="s">
        <v>185</v>
      </c>
    </row>
    <row r="5" spans="1:5" ht="58" x14ac:dyDescent="0.35">
      <c r="A5" s="89">
        <v>45370</v>
      </c>
      <c r="B5" s="92" t="s">
        <v>181</v>
      </c>
      <c r="C5" s="87" t="s">
        <v>46</v>
      </c>
      <c r="D5" s="92" t="s">
        <v>198</v>
      </c>
      <c r="E5" s="90" t="s">
        <v>185</v>
      </c>
    </row>
    <row r="6" spans="1:5" ht="58" x14ac:dyDescent="0.35">
      <c r="A6" s="88"/>
      <c r="B6" s="92" t="s">
        <v>182</v>
      </c>
      <c r="C6" s="87" t="s">
        <v>46</v>
      </c>
      <c r="D6" s="92" t="s">
        <v>198</v>
      </c>
      <c r="E6" s="90" t="s">
        <v>185</v>
      </c>
    </row>
    <row r="7" spans="1:5" ht="58" x14ac:dyDescent="0.35">
      <c r="A7" s="88"/>
      <c r="B7" s="92" t="s">
        <v>183</v>
      </c>
      <c r="C7" s="87" t="s">
        <v>46</v>
      </c>
      <c r="D7" s="92" t="s">
        <v>198</v>
      </c>
      <c r="E7" s="90" t="s">
        <v>185</v>
      </c>
    </row>
    <row r="8" spans="1:5" ht="58" x14ac:dyDescent="0.35">
      <c r="A8" s="89">
        <v>45371</v>
      </c>
      <c r="B8" s="92" t="s">
        <v>181</v>
      </c>
      <c r="C8" s="87" t="s">
        <v>46</v>
      </c>
      <c r="D8" s="92" t="s">
        <v>198</v>
      </c>
      <c r="E8" s="90" t="s">
        <v>185</v>
      </c>
    </row>
    <row r="9" spans="1:5" ht="58" x14ac:dyDescent="0.35">
      <c r="A9" s="88"/>
      <c r="B9" s="92" t="s">
        <v>182</v>
      </c>
      <c r="C9" s="87" t="s">
        <v>46</v>
      </c>
      <c r="D9" s="92" t="s">
        <v>198</v>
      </c>
      <c r="E9" s="90" t="s">
        <v>185</v>
      </c>
    </row>
    <row r="10" spans="1:5" ht="58" x14ac:dyDescent="0.35">
      <c r="A10" s="88"/>
      <c r="B10" s="92" t="s">
        <v>183</v>
      </c>
      <c r="C10" s="87" t="s">
        <v>46</v>
      </c>
      <c r="D10" s="92" t="s">
        <v>198</v>
      </c>
      <c r="E10" s="90" t="s">
        <v>185</v>
      </c>
    </row>
    <row r="11" spans="1:5" ht="58" x14ac:dyDescent="0.35">
      <c r="A11" s="89">
        <v>45372</v>
      </c>
      <c r="B11" s="92" t="s">
        <v>181</v>
      </c>
      <c r="C11" s="87" t="s">
        <v>46</v>
      </c>
      <c r="D11" s="92" t="s">
        <v>198</v>
      </c>
      <c r="E11" s="90" t="s">
        <v>185</v>
      </c>
    </row>
    <row r="12" spans="1:5" ht="58" x14ac:dyDescent="0.35">
      <c r="A12" s="88"/>
      <c r="B12" s="92" t="s">
        <v>182</v>
      </c>
      <c r="C12" s="87" t="s">
        <v>46</v>
      </c>
      <c r="D12" s="92" t="s">
        <v>198</v>
      </c>
      <c r="E12" s="90" t="s">
        <v>185</v>
      </c>
    </row>
    <row r="13" spans="1:5" ht="58" x14ac:dyDescent="0.35">
      <c r="A13" s="88"/>
      <c r="B13" s="92" t="s">
        <v>183</v>
      </c>
      <c r="C13" s="87" t="s">
        <v>46</v>
      </c>
      <c r="D13" s="92" t="s">
        <v>198</v>
      </c>
      <c r="E13" s="90" t="s">
        <v>185</v>
      </c>
    </row>
    <row r="14" spans="1:5" ht="58" x14ac:dyDescent="0.35">
      <c r="A14" s="89">
        <v>45373</v>
      </c>
      <c r="B14" s="92" t="s">
        <v>181</v>
      </c>
      <c r="C14" s="87" t="s">
        <v>46</v>
      </c>
      <c r="D14" s="92" t="s">
        <v>198</v>
      </c>
      <c r="E14" s="90" t="s">
        <v>185</v>
      </c>
    </row>
    <row r="15" spans="1:5" ht="58" x14ac:dyDescent="0.35">
      <c r="A15" s="88"/>
      <c r="B15" s="98"/>
      <c r="C15" s="88"/>
      <c r="D15" s="92" t="s">
        <v>188</v>
      </c>
      <c r="E15" s="90" t="s">
        <v>185</v>
      </c>
    </row>
    <row r="16" spans="1:5" ht="58" x14ac:dyDescent="0.35">
      <c r="A16" s="88"/>
      <c r="B16" s="92" t="s">
        <v>182</v>
      </c>
      <c r="C16" s="87" t="s">
        <v>46</v>
      </c>
      <c r="D16" s="92" t="s">
        <v>198</v>
      </c>
      <c r="E16" s="90" t="s">
        <v>185</v>
      </c>
    </row>
    <row r="17" spans="1:5" ht="58" x14ac:dyDescent="0.35">
      <c r="A17" s="88"/>
      <c r="B17" s="98"/>
      <c r="C17" s="88"/>
      <c r="D17" s="92" t="s">
        <v>188</v>
      </c>
      <c r="E17" s="90" t="s">
        <v>185</v>
      </c>
    </row>
    <row r="18" spans="1:5" ht="58" x14ac:dyDescent="0.35">
      <c r="A18" s="88"/>
      <c r="B18" s="92" t="s">
        <v>183</v>
      </c>
      <c r="C18" s="87" t="s">
        <v>46</v>
      </c>
      <c r="D18" s="92" t="s">
        <v>198</v>
      </c>
      <c r="E18" s="90" t="s">
        <v>185</v>
      </c>
    </row>
    <row r="19" spans="1:5" ht="58" x14ac:dyDescent="0.35">
      <c r="A19" s="88"/>
      <c r="B19" s="98"/>
      <c r="C19" s="88"/>
      <c r="D19" s="92" t="s">
        <v>188</v>
      </c>
      <c r="E19" s="90" t="s">
        <v>185</v>
      </c>
    </row>
    <row r="20" spans="1:5" ht="58" x14ac:dyDescent="0.35">
      <c r="A20" s="89">
        <v>45374</v>
      </c>
      <c r="B20" s="92" t="s">
        <v>181</v>
      </c>
      <c r="C20" s="87" t="s">
        <v>46</v>
      </c>
      <c r="D20" s="92" t="s">
        <v>198</v>
      </c>
      <c r="E20" s="90" t="s">
        <v>185</v>
      </c>
    </row>
    <row r="21" spans="1:5" ht="58" x14ac:dyDescent="0.35">
      <c r="A21" s="88"/>
      <c r="B21" s="98"/>
      <c r="C21" s="88"/>
      <c r="D21" s="92" t="s">
        <v>188</v>
      </c>
      <c r="E21" s="90" t="s">
        <v>185</v>
      </c>
    </row>
    <row r="22" spans="1:5" ht="58" x14ac:dyDescent="0.35">
      <c r="A22" s="88"/>
      <c r="B22" s="92" t="s">
        <v>182</v>
      </c>
      <c r="C22" s="87" t="s">
        <v>46</v>
      </c>
      <c r="D22" s="92" t="s">
        <v>198</v>
      </c>
      <c r="E22" s="90" t="s">
        <v>185</v>
      </c>
    </row>
    <row r="23" spans="1:5" ht="58" x14ac:dyDescent="0.35">
      <c r="A23" s="88"/>
      <c r="B23" s="98"/>
      <c r="C23" s="88"/>
      <c r="D23" s="92" t="s">
        <v>188</v>
      </c>
      <c r="E23" s="90" t="s">
        <v>185</v>
      </c>
    </row>
    <row r="24" spans="1:5" ht="58" x14ac:dyDescent="0.35">
      <c r="A24" s="88"/>
      <c r="B24" s="92" t="s">
        <v>183</v>
      </c>
      <c r="C24" s="87" t="s">
        <v>46</v>
      </c>
      <c r="D24" s="92" t="s">
        <v>198</v>
      </c>
      <c r="E24" s="90" t="s">
        <v>185</v>
      </c>
    </row>
    <row r="25" spans="1:5" ht="58" x14ac:dyDescent="0.35">
      <c r="A25" s="88"/>
      <c r="B25" s="98"/>
      <c r="C25" s="88"/>
      <c r="D25" s="92" t="s">
        <v>188</v>
      </c>
      <c r="E25" s="90" t="s">
        <v>185</v>
      </c>
    </row>
    <row r="26" spans="1:5" ht="58" x14ac:dyDescent="0.35">
      <c r="A26" s="89">
        <v>45375</v>
      </c>
      <c r="B26" s="92" t="s">
        <v>181</v>
      </c>
      <c r="C26" s="87" t="s">
        <v>46</v>
      </c>
      <c r="D26" s="92" t="s">
        <v>198</v>
      </c>
      <c r="E26" s="90" t="s">
        <v>185</v>
      </c>
    </row>
    <row r="27" spans="1:5" ht="58" x14ac:dyDescent="0.35">
      <c r="A27" s="88"/>
      <c r="B27" s="98"/>
      <c r="C27" s="88"/>
      <c r="D27" s="92" t="s">
        <v>188</v>
      </c>
      <c r="E27" s="90" t="s">
        <v>185</v>
      </c>
    </row>
    <row r="28" spans="1:5" ht="58" x14ac:dyDescent="0.35">
      <c r="A28" s="88"/>
      <c r="B28" s="92" t="s">
        <v>182</v>
      </c>
      <c r="C28" s="87" t="s">
        <v>46</v>
      </c>
      <c r="D28" s="92" t="s">
        <v>198</v>
      </c>
      <c r="E28" s="90" t="s">
        <v>185</v>
      </c>
    </row>
    <row r="29" spans="1:5" ht="58" x14ac:dyDescent="0.35">
      <c r="A29" s="88"/>
      <c r="B29" s="98"/>
      <c r="C29" s="88"/>
      <c r="D29" s="92" t="s">
        <v>188</v>
      </c>
      <c r="E29" s="90" t="s">
        <v>185</v>
      </c>
    </row>
    <row r="30" spans="1:5" ht="58" x14ac:dyDescent="0.35">
      <c r="A30" s="88"/>
      <c r="B30" s="92" t="s">
        <v>183</v>
      </c>
      <c r="C30" s="87" t="s">
        <v>46</v>
      </c>
      <c r="D30" s="92" t="s">
        <v>198</v>
      </c>
      <c r="E30" s="90" t="s">
        <v>185</v>
      </c>
    </row>
    <row r="31" spans="1:5" ht="58" x14ac:dyDescent="0.35">
      <c r="A31" s="88"/>
      <c r="B31" s="98"/>
      <c r="C31" s="88"/>
      <c r="D31" s="92" t="s">
        <v>188</v>
      </c>
      <c r="E31" s="90" t="s">
        <v>185</v>
      </c>
    </row>
    <row r="32" spans="1:5" ht="58" x14ac:dyDescent="0.35">
      <c r="A32" s="89">
        <v>45376</v>
      </c>
      <c r="B32" s="92" t="s">
        <v>181</v>
      </c>
      <c r="C32" s="87" t="s">
        <v>46</v>
      </c>
      <c r="D32" s="92" t="s">
        <v>198</v>
      </c>
      <c r="E32" s="90" t="s">
        <v>185</v>
      </c>
    </row>
    <row r="33" spans="1:5" ht="58" x14ac:dyDescent="0.35">
      <c r="A33" s="88"/>
      <c r="B33" s="98"/>
      <c r="C33" s="88"/>
      <c r="D33" s="92" t="s">
        <v>199</v>
      </c>
      <c r="E33" s="90" t="s">
        <v>185</v>
      </c>
    </row>
    <row r="34" spans="1:5" ht="58" x14ac:dyDescent="0.35">
      <c r="A34" s="88"/>
      <c r="B34" s="98"/>
      <c r="C34" s="88"/>
      <c r="D34" s="92" t="s">
        <v>188</v>
      </c>
      <c r="E34" s="90" t="s">
        <v>185</v>
      </c>
    </row>
    <row r="35" spans="1:5" ht="58" x14ac:dyDescent="0.35">
      <c r="A35" s="88"/>
      <c r="B35" s="92" t="s">
        <v>182</v>
      </c>
      <c r="C35" s="87" t="s">
        <v>46</v>
      </c>
      <c r="D35" s="92" t="s">
        <v>198</v>
      </c>
      <c r="E35" s="90" t="s">
        <v>185</v>
      </c>
    </row>
    <row r="36" spans="1:5" ht="58" x14ac:dyDescent="0.35">
      <c r="A36" s="88"/>
      <c r="B36" s="98"/>
      <c r="C36" s="88"/>
      <c r="D36" s="92" t="s">
        <v>199</v>
      </c>
      <c r="E36" s="90" t="s">
        <v>185</v>
      </c>
    </row>
    <row r="37" spans="1:5" ht="58" x14ac:dyDescent="0.35">
      <c r="A37" s="88"/>
      <c r="B37" s="98"/>
      <c r="C37" s="88"/>
      <c r="D37" s="92" t="s">
        <v>188</v>
      </c>
      <c r="E37" s="90" t="s">
        <v>185</v>
      </c>
    </row>
    <row r="38" spans="1:5" ht="58" x14ac:dyDescent="0.35">
      <c r="A38" s="88"/>
      <c r="B38" s="92" t="s">
        <v>183</v>
      </c>
      <c r="C38" s="87" t="s">
        <v>46</v>
      </c>
      <c r="D38" s="92" t="s">
        <v>198</v>
      </c>
      <c r="E38" s="90" t="s">
        <v>185</v>
      </c>
    </row>
    <row r="39" spans="1:5" ht="58" x14ac:dyDescent="0.35">
      <c r="A39" s="88"/>
      <c r="B39" s="98"/>
      <c r="C39" s="88"/>
      <c r="D39" s="92" t="s">
        <v>199</v>
      </c>
      <c r="E39" s="90" t="s">
        <v>185</v>
      </c>
    </row>
    <row r="40" spans="1:5" ht="58" x14ac:dyDescent="0.35">
      <c r="A40" s="88"/>
      <c r="B40" s="98"/>
      <c r="C40" s="88"/>
      <c r="D40" s="92" t="s">
        <v>188</v>
      </c>
      <c r="E40" s="90" t="s">
        <v>185</v>
      </c>
    </row>
    <row r="41" spans="1:5" ht="58" x14ac:dyDescent="0.35">
      <c r="A41" s="89">
        <v>45377</v>
      </c>
      <c r="B41" s="92" t="s">
        <v>181</v>
      </c>
      <c r="C41" s="87" t="s">
        <v>46</v>
      </c>
      <c r="D41" s="92" t="s">
        <v>188</v>
      </c>
      <c r="E41" s="90" t="s">
        <v>185</v>
      </c>
    </row>
    <row r="42" spans="1:5" ht="58" x14ac:dyDescent="0.35">
      <c r="A42" s="88"/>
      <c r="B42" s="92" t="s">
        <v>182</v>
      </c>
      <c r="C42" s="87" t="s">
        <v>46</v>
      </c>
      <c r="D42" s="92" t="s">
        <v>188</v>
      </c>
      <c r="E42" s="90" t="s">
        <v>185</v>
      </c>
    </row>
    <row r="43" spans="1:5" ht="58" x14ac:dyDescent="0.35">
      <c r="A43" s="88"/>
      <c r="B43" s="92" t="s">
        <v>183</v>
      </c>
      <c r="C43" s="87" t="s">
        <v>46</v>
      </c>
      <c r="D43" s="92" t="s">
        <v>188</v>
      </c>
      <c r="E43" s="90" t="s">
        <v>185</v>
      </c>
    </row>
    <row r="44" spans="1:5" ht="58" x14ac:dyDescent="0.35">
      <c r="A44" s="89">
        <v>45378</v>
      </c>
      <c r="B44" s="92" t="s">
        <v>181</v>
      </c>
      <c r="C44" s="87" t="s">
        <v>46</v>
      </c>
      <c r="D44" s="92" t="s">
        <v>188</v>
      </c>
      <c r="E44" s="90" t="s">
        <v>185</v>
      </c>
    </row>
    <row r="45" spans="1:5" ht="58" x14ac:dyDescent="0.35">
      <c r="A45" s="88"/>
      <c r="B45" s="92" t="s">
        <v>182</v>
      </c>
      <c r="C45" s="87" t="s">
        <v>46</v>
      </c>
      <c r="D45" s="92" t="s">
        <v>188</v>
      </c>
      <c r="E45" s="90" t="s">
        <v>185</v>
      </c>
    </row>
    <row r="46" spans="1:5" ht="58" x14ac:dyDescent="0.35">
      <c r="A46" s="88"/>
      <c r="B46" s="92" t="s">
        <v>183</v>
      </c>
      <c r="C46" s="87" t="s">
        <v>46</v>
      </c>
      <c r="D46" s="92" t="s">
        <v>188</v>
      </c>
      <c r="E46" s="90" t="s">
        <v>185</v>
      </c>
    </row>
    <row r="47" spans="1:5" ht="58" x14ac:dyDescent="0.35">
      <c r="A47" s="89">
        <v>45379</v>
      </c>
      <c r="B47" s="92" t="s">
        <v>181</v>
      </c>
      <c r="C47" s="87" t="s">
        <v>46</v>
      </c>
      <c r="D47" s="92" t="s">
        <v>188</v>
      </c>
      <c r="E47" s="90" t="s">
        <v>185</v>
      </c>
    </row>
    <row r="48" spans="1:5" ht="58" x14ac:dyDescent="0.35">
      <c r="A48" s="88"/>
      <c r="B48" s="92" t="s">
        <v>182</v>
      </c>
      <c r="C48" s="87" t="s">
        <v>46</v>
      </c>
      <c r="D48" s="92" t="s">
        <v>188</v>
      </c>
      <c r="E48" s="90" t="s">
        <v>185</v>
      </c>
    </row>
    <row r="49" spans="1:5" ht="58" x14ac:dyDescent="0.35">
      <c r="A49" s="88"/>
      <c r="B49" s="92" t="s">
        <v>183</v>
      </c>
      <c r="C49" s="87" t="s">
        <v>46</v>
      </c>
      <c r="D49" s="92" t="s">
        <v>188</v>
      </c>
      <c r="E49" s="90" t="s">
        <v>185</v>
      </c>
    </row>
    <row r="50" spans="1:5" ht="58" x14ac:dyDescent="0.35">
      <c r="A50" s="89">
        <v>45380</v>
      </c>
      <c r="B50" s="92" t="s">
        <v>181</v>
      </c>
      <c r="C50" s="87" t="s">
        <v>46</v>
      </c>
      <c r="D50" s="92" t="s">
        <v>188</v>
      </c>
      <c r="E50" s="90" t="s">
        <v>185</v>
      </c>
    </row>
    <row r="51" spans="1:5" ht="58" x14ac:dyDescent="0.35">
      <c r="A51" s="88"/>
      <c r="B51" s="92" t="s">
        <v>182</v>
      </c>
      <c r="C51" s="87" t="s">
        <v>46</v>
      </c>
      <c r="D51" s="92" t="s">
        <v>188</v>
      </c>
      <c r="E51" s="90" t="s">
        <v>185</v>
      </c>
    </row>
    <row r="52" spans="1:5" ht="58" x14ac:dyDescent="0.35">
      <c r="A52" s="88"/>
      <c r="B52" s="92" t="s">
        <v>183</v>
      </c>
      <c r="C52" s="87" t="s">
        <v>46</v>
      </c>
      <c r="D52" s="92" t="s">
        <v>188</v>
      </c>
      <c r="E52" s="90" t="s">
        <v>185</v>
      </c>
    </row>
    <row r="53" spans="1:5" ht="58" x14ac:dyDescent="0.35">
      <c r="A53" s="89">
        <v>45381</v>
      </c>
      <c r="B53" s="92" t="s">
        <v>181</v>
      </c>
      <c r="C53" s="87" t="s">
        <v>46</v>
      </c>
      <c r="D53" s="92" t="s">
        <v>188</v>
      </c>
      <c r="E53" s="90" t="s">
        <v>185</v>
      </c>
    </row>
    <row r="54" spans="1:5" ht="58" x14ac:dyDescent="0.35">
      <c r="A54" s="88"/>
      <c r="B54" s="92" t="s">
        <v>182</v>
      </c>
      <c r="C54" s="87" t="s">
        <v>46</v>
      </c>
      <c r="D54" s="92" t="s">
        <v>188</v>
      </c>
      <c r="E54" s="90" t="s">
        <v>185</v>
      </c>
    </row>
    <row r="55" spans="1:5" ht="58" x14ac:dyDescent="0.35">
      <c r="A55" s="88"/>
      <c r="B55" s="92" t="s">
        <v>183</v>
      </c>
      <c r="C55" s="87" t="s">
        <v>46</v>
      </c>
      <c r="D55" s="92" t="s">
        <v>188</v>
      </c>
      <c r="E55" s="90" t="s">
        <v>185</v>
      </c>
    </row>
    <row r="56" spans="1:5" ht="58" x14ac:dyDescent="0.35">
      <c r="A56" s="89">
        <v>45382</v>
      </c>
      <c r="B56" s="92" t="s">
        <v>181</v>
      </c>
      <c r="C56" s="87" t="s">
        <v>46</v>
      </c>
      <c r="D56" s="92" t="s">
        <v>188</v>
      </c>
      <c r="E56" s="90" t="s">
        <v>185</v>
      </c>
    </row>
    <row r="57" spans="1:5" ht="58" x14ac:dyDescent="0.35">
      <c r="A57" s="88"/>
      <c r="B57" s="92" t="s">
        <v>182</v>
      </c>
      <c r="C57" s="87" t="s">
        <v>46</v>
      </c>
      <c r="D57" s="92" t="s">
        <v>188</v>
      </c>
      <c r="E57" s="90" t="s">
        <v>185</v>
      </c>
    </row>
    <row r="58" spans="1:5" ht="58" x14ac:dyDescent="0.35">
      <c r="A58" s="88"/>
      <c r="B58" s="92" t="s">
        <v>183</v>
      </c>
      <c r="C58" s="87" t="s">
        <v>46</v>
      </c>
      <c r="D58" s="92" t="s">
        <v>188</v>
      </c>
      <c r="E58" s="90" t="s">
        <v>185</v>
      </c>
    </row>
    <row r="59" spans="1:5" ht="58" x14ac:dyDescent="0.35">
      <c r="A59" s="89">
        <v>45383</v>
      </c>
      <c r="B59" s="92" t="s">
        <v>181</v>
      </c>
      <c r="C59" s="87" t="s">
        <v>46</v>
      </c>
      <c r="D59" s="92" t="s">
        <v>188</v>
      </c>
      <c r="E59" s="90" t="s">
        <v>185</v>
      </c>
    </row>
    <row r="60" spans="1:5" ht="58" x14ac:dyDescent="0.35">
      <c r="A60" s="88"/>
      <c r="B60" s="98"/>
      <c r="C60" s="88"/>
      <c r="D60" s="92" t="s">
        <v>200</v>
      </c>
      <c r="E60" s="90" t="s">
        <v>185</v>
      </c>
    </row>
    <row r="61" spans="1:5" ht="58" x14ac:dyDescent="0.35">
      <c r="A61" s="88"/>
      <c r="B61" s="92" t="s">
        <v>182</v>
      </c>
      <c r="C61" s="87" t="s">
        <v>46</v>
      </c>
      <c r="D61" s="92" t="s">
        <v>188</v>
      </c>
      <c r="E61" s="90" t="s">
        <v>185</v>
      </c>
    </row>
    <row r="62" spans="1:5" ht="58" x14ac:dyDescent="0.35">
      <c r="A62" s="88"/>
      <c r="B62" s="98"/>
      <c r="C62" s="88"/>
      <c r="D62" s="92" t="s">
        <v>200</v>
      </c>
      <c r="E62" s="90" t="s">
        <v>185</v>
      </c>
    </row>
    <row r="63" spans="1:5" ht="58" x14ac:dyDescent="0.35">
      <c r="A63" s="88"/>
      <c r="B63" s="92" t="s">
        <v>183</v>
      </c>
      <c r="C63" s="87" t="s">
        <v>46</v>
      </c>
      <c r="D63" s="92" t="s">
        <v>188</v>
      </c>
      <c r="E63" s="90" t="s">
        <v>185</v>
      </c>
    </row>
    <row r="64" spans="1:5" ht="58" x14ac:dyDescent="0.35">
      <c r="A64" s="189"/>
      <c r="B64" s="190"/>
      <c r="C64" s="189"/>
      <c r="D64" s="93" t="s">
        <v>200</v>
      </c>
      <c r="E64" s="91" t="s">
        <v>185</v>
      </c>
    </row>
  </sheetData>
  <pageMargins left="0.70866141732283472" right="0.70866141732283472" top="0.74803149606299213" bottom="0.74803149606299213" header="0.31496062992125984" footer="0.31496062992125984"/>
  <pageSetup paperSize="9" scale="68" fitToHeight="0" orientation="portrait" horizontalDpi="0" verticalDpi="0" r:id="rId2"/>
  <drawing r:id="rId3"/>
  <extLst>
    <ext xmlns:x14="http://schemas.microsoft.com/office/spreadsheetml/2009/9/main" uri="{A8765BA9-456A-4dab-B4F3-ACF838C121DE}">
      <x14:slicerList>
        <x14:slicer r:id="rId4"/>
      </x14:slicerList>
    </ext>
    <ext xmlns:x15="http://schemas.microsoft.com/office/spreadsheetml/2010/11/main" uri="{7E03D99C-DC04-49d9-9315-930204A7B6E9}">
      <x15:timelineRefs>
        <x15:timelineRef r:id="rId5"/>
      </x15:timelineRef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9">
    <pageSetUpPr fitToPage="1"/>
  </sheetPr>
  <dimension ref="A1:G94"/>
  <sheetViews>
    <sheetView showGridLines="0" zoomScale="115" zoomScaleNormal="115" zoomScaleSheetLayoutView="110" workbookViewId="0">
      <pane ySplit="4" topLeftCell="A5" activePane="bottomLeft" state="frozen"/>
      <selection activeCell="F20" sqref="F20"/>
      <selection pane="bottomLeft" activeCell="F20" sqref="F20"/>
    </sheetView>
  </sheetViews>
  <sheetFormatPr defaultRowHeight="12.5" x14ac:dyDescent="0.25"/>
  <cols>
    <col min="1" max="1" width="4.54296875" style="16" customWidth="1"/>
    <col min="2" max="2" width="16" style="16" customWidth="1"/>
    <col min="3" max="3" width="17.7265625" style="16" customWidth="1"/>
    <col min="4" max="4" width="8" style="16" customWidth="1"/>
    <col min="5" max="5" width="20.453125" style="16" customWidth="1"/>
    <col min="6" max="6" width="8.26953125" style="16" customWidth="1"/>
    <col min="7" max="7" width="19.54296875" style="16" customWidth="1"/>
    <col min="8" max="256" width="8.7265625" style="16"/>
    <col min="257" max="257" width="4.54296875" style="16" customWidth="1"/>
    <col min="258" max="258" width="16" style="16" customWidth="1"/>
    <col min="259" max="259" width="17.7265625" style="16" customWidth="1"/>
    <col min="260" max="260" width="8" style="16" customWidth="1"/>
    <col min="261" max="261" width="20.453125" style="16" customWidth="1"/>
    <col min="262" max="262" width="8.26953125" style="16" customWidth="1"/>
    <col min="263" max="263" width="19.54296875" style="16" customWidth="1"/>
    <col min="264" max="512" width="8.7265625" style="16"/>
    <col min="513" max="513" width="4.54296875" style="16" customWidth="1"/>
    <col min="514" max="514" width="16" style="16" customWidth="1"/>
    <col min="515" max="515" width="17.7265625" style="16" customWidth="1"/>
    <col min="516" max="516" width="8" style="16" customWidth="1"/>
    <col min="517" max="517" width="20.453125" style="16" customWidth="1"/>
    <col min="518" max="518" width="8.26953125" style="16" customWidth="1"/>
    <col min="519" max="519" width="19.54296875" style="16" customWidth="1"/>
    <col min="520" max="768" width="8.7265625" style="16"/>
    <col min="769" max="769" width="4.54296875" style="16" customWidth="1"/>
    <col min="770" max="770" width="16" style="16" customWidth="1"/>
    <col min="771" max="771" width="17.7265625" style="16" customWidth="1"/>
    <col min="772" max="772" width="8" style="16" customWidth="1"/>
    <col min="773" max="773" width="20.453125" style="16" customWidth="1"/>
    <col min="774" max="774" width="8.26953125" style="16" customWidth="1"/>
    <col min="775" max="775" width="19.54296875" style="16" customWidth="1"/>
    <col min="776" max="1024" width="8.7265625" style="16"/>
    <col min="1025" max="1025" width="4.54296875" style="16" customWidth="1"/>
    <col min="1026" max="1026" width="16" style="16" customWidth="1"/>
    <col min="1027" max="1027" width="17.7265625" style="16" customWidth="1"/>
    <col min="1028" max="1028" width="8" style="16" customWidth="1"/>
    <col min="1029" max="1029" width="20.453125" style="16" customWidth="1"/>
    <col min="1030" max="1030" width="8.26953125" style="16" customWidth="1"/>
    <col min="1031" max="1031" width="19.54296875" style="16" customWidth="1"/>
    <col min="1032" max="1280" width="8.7265625" style="16"/>
    <col min="1281" max="1281" width="4.54296875" style="16" customWidth="1"/>
    <col min="1282" max="1282" width="16" style="16" customWidth="1"/>
    <col min="1283" max="1283" width="17.7265625" style="16" customWidth="1"/>
    <col min="1284" max="1284" width="8" style="16" customWidth="1"/>
    <col min="1285" max="1285" width="20.453125" style="16" customWidth="1"/>
    <col min="1286" max="1286" width="8.26953125" style="16" customWidth="1"/>
    <col min="1287" max="1287" width="19.54296875" style="16" customWidth="1"/>
    <col min="1288" max="1536" width="8.7265625" style="16"/>
    <col min="1537" max="1537" width="4.54296875" style="16" customWidth="1"/>
    <col min="1538" max="1538" width="16" style="16" customWidth="1"/>
    <col min="1539" max="1539" width="17.7265625" style="16" customWidth="1"/>
    <col min="1540" max="1540" width="8" style="16" customWidth="1"/>
    <col min="1541" max="1541" width="20.453125" style="16" customWidth="1"/>
    <col min="1542" max="1542" width="8.26953125" style="16" customWidth="1"/>
    <col min="1543" max="1543" width="19.54296875" style="16" customWidth="1"/>
    <col min="1544" max="1792" width="8.7265625" style="16"/>
    <col min="1793" max="1793" width="4.54296875" style="16" customWidth="1"/>
    <col min="1794" max="1794" width="16" style="16" customWidth="1"/>
    <col min="1795" max="1795" width="17.7265625" style="16" customWidth="1"/>
    <col min="1796" max="1796" width="8" style="16" customWidth="1"/>
    <col min="1797" max="1797" width="20.453125" style="16" customWidth="1"/>
    <col min="1798" max="1798" width="8.26953125" style="16" customWidth="1"/>
    <col min="1799" max="1799" width="19.54296875" style="16" customWidth="1"/>
    <col min="1800" max="2048" width="8.7265625" style="16"/>
    <col min="2049" max="2049" width="4.54296875" style="16" customWidth="1"/>
    <col min="2050" max="2050" width="16" style="16" customWidth="1"/>
    <col min="2051" max="2051" width="17.7265625" style="16" customWidth="1"/>
    <col min="2052" max="2052" width="8" style="16" customWidth="1"/>
    <col min="2053" max="2053" width="20.453125" style="16" customWidth="1"/>
    <col min="2054" max="2054" width="8.26953125" style="16" customWidth="1"/>
    <col min="2055" max="2055" width="19.54296875" style="16" customWidth="1"/>
    <col min="2056" max="2304" width="8.7265625" style="16"/>
    <col min="2305" max="2305" width="4.54296875" style="16" customWidth="1"/>
    <col min="2306" max="2306" width="16" style="16" customWidth="1"/>
    <col min="2307" max="2307" width="17.7265625" style="16" customWidth="1"/>
    <col min="2308" max="2308" width="8" style="16" customWidth="1"/>
    <col min="2309" max="2309" width="20.453125" style="16" customWidth="1"/>
    <col min="2310" max="2310" width="8.26953125" style="16" customWidth="1"/>
    <col min="2311" max="2311" width="19.54296875" style="16" customWidth="1"/>
    <col min="2312" max="2560" width="8.7265625" style="16"/>
    <col min="2561" max="2561" width="4.54296875" style="16" customWidth="1"/>
    <col min="2562" max="2562" width="16" style="16" customWidth="1"/>
    <col min="2563" max="2563" width="17.7265625" style="16" customWidth="1"/>
    <col min="2564" max="2564" width="8" style="16" customWidth="1"/>
    <col min="2565" max="2565" width="20.453125" style="16" customWidth="1"/>
    <col min="2566" max="2566" width="8.26953125" style="16" customWidth="1"/>
    <col min="2567" max="2567" width="19.54296875" style="16" customWidth="1"/>
    <col min="2568" max="2816" width="8.7265625" style="16"/>
    <col min="2817" max="2817" width="4.54296875" style="16" customWidth="1"/>
    <col min="2818" max="2818" width="16" style="16" customWidth="1"/>
    <col min="2819" max="2819" width="17.7265625" style="16" customWidth="1"/>
    <col min="2820" max="2820" width="8" style="16" customWidth="1"/>
    <col min="2821" max="2821" width="20.453125" style="16" customWidth="1"/>
    <col min="2822" max="2822" width="8.26953125" style="16" customWidth="1"/>
    <col min="2823" max="2823" width="19.54296875" style="16" customWidth="1"/>
    <col min="2824" max="3072" width="8.7265625" style="16"/>
    <col min="3073" max="3073" width="4.54296875" style="16" customWidth="1"/>
    <col min="3074" max="3074" width="16" style="16" customWidth="1"/>
    <col min="3075" max="3075" width="17.7265625" style="16" customWidth="1"/>
    <col min="3076" max="3076" width="8" style="16" customWidth="1"/>
    <col min="3077" max="3077" width="20.453125" style="16" customWidth="1"/>
    <col min="3078" max="3078" width="8.26953125" style="16" customWidth="1"/>
    <col min="3079" max="3079" width="19.54296875" style="16" customWidth="1"/>
    <col min="3080" max="3328" width="8.7265625" style="16"/>
    <col min="3329" max="3329" width="4.54296875" style="16" customWidth="1"/>
    <col min="3330" max="3330" width="16" style="16" customWidth="1"/>
    <col min="3331" max="3331" width="17.7265625" style="16" customWidth="1"/>
    <col min="3332" max="3332" width="8" style="16" customWidth="1"/>
    <col min="3333" max="3333" width="20.453125" style="16" customWidth="1"/>
    <col min="3334" max="3334" width="8.26953125" style="16" customWidth="1"/>
    <col min="3335" max="3335" width="19.54296875" style="16" customWidth="1"/>
    <col min="3336" max="3584" width="8.7265625" style="16"/>
    <col min="3585" max="3585" width="4.54296875" style="16" customWidth="1"/>
    <col min="3586" max="3586" width="16" style="16" customWidth="1"/>
    <col min="3587" max="3587" width="17.7265625" style="16" customWidth="1"/>
    <col min="3588" max="3588" width="8" style="16" customWidth="1"/>
    <col min="3589" max="3589" width="20.453125" style="16" customWidth="1"/>
    <col min="3590" max="3590" width="8.26953125" style="16" customWidth="1"/>
    <col min="3591" max="3591" width="19.54296875" style="16" customWidth="1"/>
    <col min="3592" max="3840" width="8.7265625" style="16"/>
    <col min="3841" max="3841" width="4.54296875" style="16" customWidth="1"/>
    <col min="3842" max="3842" width="16" style="16" customWidth="1"/>
    <col min="3843" max="3843" width="17.7265625" style="16" customWidth="1"/>
    <col min="3844" max="3844" width="8" style="16" customWidth="1"/>
    <col min="3845" max="3845" width="20.453125" style="16" customWidth="1"/>
    <col min="3846" max="3846" width="8.26953125" style="16" customWidth="1"/>
    <col min="3847" max="3847" width="19.54296875" style="16" customWidth="1"/>
    <col min="3848" max="4096" width="8.7265625" style="16"/>
    <col min="4097" max="4097" width="4.54296875" style="16" customWidth="1"/>
    <col min="4098" max="4098" width="16" style="16" customWidth="1"/>
    <col min="4099" max="4099" width="17.7265625" style="16" customWidth="1"/>
    <col min="4100" max="4100" width="8" style="16" customWidth="1"/>
    <col min="4101" max="4101" width="20.453125" style="16" customWidth="1"/>
    <col min="4102" max="4102" width="8.26953125" style="16" customWidth="1"/>
    <col min="4103" max="4103" width="19.54296875" style="16" customWidth="1"/>
    <col min="4104" max="4352" width="8.7265625" style="16"/>
    <col min="4353" max="4353" width="4.54296875" style="16" customWidth="1"/>
    <col min="4354" max="4354" width="16" style="16" customWidth="1"/>
    <col min="4355" max="4355" width="17.7265625" style="16" customWidth="1"/>
    <col min="4356" max="4356" width="8" style="16" customWidth="1"/>
    <col min="4357" max="4357" width="20.453125" style="16" customWidth="1"/>
    <col min="4358" max="4358" width="8.26953125" style="16" customWidth="1"/>
    <col min="4359" max="4359" width="19.54296875" style="16" customWidth="1"/>
    <col min="4360" max="4608" width="8.7265625" style="16"/>
    <col min="4609" max="4609" width="4.54296875" style="16" customWidth="1"/>
    <col min="4610" max="4610" width="16" style="16" customWidth="1"/>
    <col min="4611" max="4611" width="17.7265625" style="16" customWidth="1"/>
    <col min="4612" max="4612" width="8" style="16" customWidth="1"/>
    <col min="4613" max="4613" width="20.453125" style="16" customWidth="1"/>
    <col min="4614" max="4614" width="8.26953125" style="16" customWidth="1"/>
    <col min="4615" max="4615" width="19.54296875" style="16" customWidth="1"/>
    <col min="4616" max="4864" width="8.7265625" style="16"/>
    <col min="4865" max="4865" width="4.54296875" style="16" customWidth="1"/>
    <col min="4866" max="4866" width="16" style="16" customWidth="1"/>
    <col min="4867" max="4867" width="17.7265625" style="16" customWidth="1"/>
    <col min="4868" max="4868" width="8" style="16" customWidth="1"/>
    <col min="4869" max="4869" width="20.453125" style="16" customWidth="1"/>
    <col min="4870" max="4870" width="8.26953125" style="16" customWidth="1"/>
    <col min="4871" max="4871" width="19.54296875" style="16" customWidth="1"/>
    <col min="4872" max="5120" width="8.7265625" style="16"/>
    <col min="5121" max="5121" width="4.54296875" style="16" customWidth="1"/>
    <col min="5122" max="5122" width="16" style="16" customWidth="1"/>
    <col min="5123" max="5123" width="17.7265625" style="16" customWidth="1"/>
    <col min="5124" max="5124" width="8" style="16" customWidth="1"/>
    <col min="5125" max="5125" width="20.453125" style="16" customWidth="1"/>
    <col min="5126" max="5126" width="8.26953125" style="16" customWidth="1"/>
    <col min="5127" max="5127" width="19.54296875" style="16" customWidth="1"/>
    <col min="5128" max="5376" width="8.7265625" style="16"/>
    <col min="5377" max="5377" width="4.54296875" style="16" customWidth="1"/>
    <col min="5378" max="5378" width="16" style="16" customWidth="1"/>
    <col min="5379" max="5379" width="17.7265625" style="16" customWidth="1"/>
    <col min="5380" max="5380" width="8" style="16" customWidth="1"/>
    <col min="5381" max="5381" width="20.453125" style="16" customWidth="1"/>
    <col min="5382" max="5382" width="8.26953125" style="16" customWidth="1"/>
    <col min="5383" max="5383" width="19.54296875" style="16" customWidth="1"/>
    <col min="5384" max="5632" width="8.7265625" style="16"/>
    <col min="5633" max="5633" width="4.54296875" style="16" customWidth="1"/>
    <col min="5634" max="5634" width="16" style="16" customWidth="1"/>
    <col min="5635" max="5635" width="17.7265625" style="16" customWidth="1"/>
    <col min="5636" max="5636" width="8" style="16" customWidth="1"/>
    <col min="5637" max="5637" width="20.453125" style="16" customWidth="1"/>
    <col min="5638" max="5638" width="8.26953125" style="16" customWidth="1"/>
    <col min="5639" max="5639" width="19.54296875" style="16" customWidth="1"/>
    <col min="5640" max="5888" width="8.7265625" style="16"/>
    <col min="5889" max="5889" width="4.54296875" style="16" customWidth="1"/>
    <col min="5890" max="5890" width="16" style="16" customWidth="1"/>
    <col min="5891" max="5891" width="17.7265625" style="16" customWidth="1"/>
    <col min="5892" max="5892" width="8" style="16" customWidth="1"/>
    <col min="5893" max="5893" width="20.453125" style="16" customWidth="1"/>
    <col min="5894" max="5894" width="8.26953125" style="16" customWidth="1"/>
    <col min="5895" max="5895" width="19.54296875" style="16" customWidth="1"/>
    <col min="5896" max="6144" width="8.7265625" style="16"/>
    <col min="6145" max="6145" width="4.54296875" style="16" customWidth="1"/>
    <col min="6146" max="6146" width="16" style="16" customWidth="1"/>
    <col min="6147" max="6147" width="17.7265625" style="16" customWidth="1"/>
    <col min="6148" max="6148" width="8" style="16" customWidth="1"/>
    <col min="6149" max="6149" width="20.453125" style="16" customWidth="1"/>
    <col min="6150" max="6150" width="8.26953125" style="16" customWidth="1"/>
    <col min="6151" max="6151" width="19.54296875" style="16" customWidth="1"/>
    <col min="6152" max="6400" width="8.7265625" style="16"/>
    <col min="6401" max="6401" width="4.54296875" style="16" customWidth="1"/>
    <col min="6402" max="6402" width="16" style="16" customWidth="1"/>
    <col min="6403" max="6403" width="17.7265625" style="16" customWidth="1"/>
    <col min="6404" max="6404" width="8" style="16" customWidth="1"/>
    <col min="6405" max="6405" width="20.453125" style="16" customWidth="1"/>
    <col min="6406" max="6406" width="8.26953125" style="16" customWidth="1"/>
    <col min="6407" max="6407" width="19.54296875" style="16" customWidth="1"/>
    <col min="6408" max="6656" width="8.7265625" style="16"/>
    <col min="6657" max="6657" width="4.54296875" style="16" customWidth="1"/>
    <col min="6658" max="6658" width="16" style="16" customWidth="1"/>
    <col min="6659" max="6659" width="17.7265625" style="16" customWidth="1"/>
    <col min="6660" max="6660" width="8" style="16" customWidth="1"/>
    <col min="6661" max="6661" width="20.453125" style="16" customWidth="1"/>
    <col min="6662" max="6662" width="8.26953125" style="16" customWidth="1"/>
    <col min="6663" max="6663" width="19.54296875" style="16" customWidth="1"/>
    <col min="6664" max="6912" width="8.7265625" style="16"/>
    <col min="6913" max="6913" width="4.54296875" style="16" customWidth="1"/>
    <col min="6914" max="6914" width="16" style="16" customWidth="1"/>
    <col min="6915" max="6915" width="17.7265625" style="16" customWidth="1"/>
    <col min="6916" max="6916" width="8" style="16" customWidth="1"/>
    <col min="6917" max="6917" width="20.453125" style="16" customWidth="1"/>
    <col min="6918" max="6918" width="8.26953125" style="16" customWidth="1"/>
    <col min="6919" max="6919" width="19.54296875" style="16" customWidth="1"/>
    <col min="6920" max="7168" width="8.7265625" style="16"/>
    <col min="7169" max="7169" width="4.54296875" style="16" customWidth="1"/>
    <col min="7170" max="7170" width="16" style="16" customWidth="1"/>
    <col min="7171" max="7171" width="17.7265625" style="16" customWidth="1"/>
    <col min="7172" max="7172" width="8" style="16" customWidth="1"/>
    <col min="7173" max="7173" width="20.453125" style="16" customWidth="1"/>
    <col min="7174" max="7174" width="8.26953125" style="16" customWidth="1"/>
    <col min="7175" max="7175" width="19.54296875" style="16" customWidth="1"/>
    <col min="7176" max="7424" width="8.7265625" style="16"/>
    <col min="7425" max="7425" width="4.54296875" style="16" customWidth="1"/>
    <col min="7426" max="7426" width="16" style="16" customWidth="1"/>
    <col min="7427" max="7427" width="17.7265625" style="16" customWidth="1"/>
    <col min="7428" max="7428" width="8" style="16" customWidth="1"/>
    <col min="7429" max="7429" width="20.453125" style="16" customWidth="1"/>
    <col min="7430" max="7430" width="8.26953125" style="16" customWidth="1"/>
    <col min="7431" max="7431" width="19.54296875" style="16" customWidth="1"/>
    <col min="7432" max="7680" width="8.7265625" style="16"/>
    <col min="7681" max="7681" width="4.54296875" style="16" customWidth="1"/>
    <col min="7682" max="7682" width="16" style="16" customWidth="1"/>
    <col min="7683" max="7683" width="17.7265625" style="16" customWidth="1"/>
    <col min="7684" max="7684" width="8" style="16" customWidth="1"/>
    <col min="7685" max="7685" width="20.453125" style="16" customWidth="1"/>
    <col min="7686" max="7686" width="8.26953125" style="16" customWidth="1"/>
    <col min="7687" max="7687" width="19.54296875" style="16" customWidth="1"/>
    <col min="7688" max="7936" width="8.7265625" style="16"/>
    <col min="7937" max="7937" width="4.54296875" style="16" customWidth="1"/>
    <col min="7938" max="7938" width="16" style="16" customWidth="1"/>
    <col min="7939" max="7939" width="17.7265625" style="16" customWidth="1"/>
    <col min="7940" max="7940" width="8" style="16" customWidth="1"/>
    <col min="7941" max="7941" width="20.453125" style="16" customWidth="1"/>
    <col min="7942" max="7942" width="8.26953125" style="16" customWidth="1"/>
    <col min="7943" max="7943" width="19.54296875" style="16" customWidth="1"/>
    <col min="7944" max="8192" width="8.7265625" style="16"/>
    <col min="8193" max="8193" width="4.54296875" style="16" customWidth="1"/>
    <col min="8194" max="8194" width="16" style="16" customWidth="1"/>
    <col min="8195" max="8195" width="17.7265625" style="16" customWidth="1"/>
    <col min="8196" max="8196" width="8" style="16" customWidth="1"/>
    <col min="8197" max="8197" width="20.453125" style="16" customWidth="1"/>
    <col min="8198" max="8198" width="8.26953125" style="16" customWidth="1"/>
    <col min="8199" max="8199" width="19.54296875" style="16" customWidth="1"/>
    <col min="8200" max="8448" width="8.7265625" style="16"/>
    <col min="8449" max="8449" width="4.54296875" style="16" customWidth="1"/>
    <col min="8450" max="8450" width="16" style="16" customWidth="1"/>
    <col min="8451" max="8451" width="17.7265625" style="16" customWidth="1"/>
    <col min="8452" max="8452" width="8" style="16" customWidth="1"/>
    <col min="8453" max="8453" width="20.453125" style="16" customWidth="1"/>
    <col min="8454" max="8454" width="8.26953125" style="16" customWidth="1"/>
    <col min="8455" max="8455" width="19.54296875" style="16" customWidth="1"/>
    <col min="8456" max="8704" width="8.7265625" style="16"/>
    <col min="8705" max="8705" width="4.54296875" style="16" customWidth="1"/>
    <col min="8706" max="8706" width="16" style="16" customWidth="1"/>
    <col min="8707" max="8707" width="17.7265625" style="16" customWidth="1"/>
    <col min="8708" max="8708" width="8" style="16" customWidth="1"/>
    <col min="8709" max="8709" width="20.453125" style="16" customWidth="1"/>
    <col min="8710" max="8710" width="8.26953125" style="16" customWidth="1"/>
    <col min="8711" max="8711" width="19.54296875" style="16" customWidth="1"/>
    <col min="8712" max="8960" width="8.7265625" style="16"/>
    <col min="8961" max="8961" width="4.54296875" style="16" customWidth="1"/>
    <col min="8962" max="8962" width="16" style="16" customWidth="1"/>
    <col min="8963" max="8963" width="17.7265625" style="16" customWidth="1"/>
    <col min="8964" max="8964" width="8" style="16" customWidth="1"/>
    <col min="8965" max="8965" width="20.453125" style="16" customWidth="1"/>
    <col min="8966" max="8966" width="8.26953125" style="16" customWidth="1"/>
    <col min="8967" max="8967" width="19.54296875" style="16" customWidth="1"/>
    <col min="8968" max="9216" width="8.7265625" style="16"/>
    <col min="9217" max="9217" width="4.54296875" style="16" customWidth="1"/>
    <col min="9218" max="9218" width="16" style="16" customWidth="1"/>
    <col min="9219" max="9219" width="17.7265625" style="16" customWidth="1"/>
    <col min="9220" max="9220" width="8" style="16" customWidth="1"/>
    <col min="9221" max="9221" width="20.453125" style="16" customWidth="1"/>
    <col min="9222" max="9222" width="8.26953125" style="16" customWidth="1"/>
    <col min="9223" max="9223" width="19.54296875" style="16" customWidth="1"/>
    <col min="9224" max="9472" width="8.7265625" style="16"/>
    <col min="9473" max="9473" width="4.54296875" style="16" customWidth="1"/>
    <col min="9474" max="9474" width="16" style="16" customWidth="1"/>
    <col min="9475" max="9475" width="17.7265625" style="16" customWidth="1"/>
    <col min="9476" max="9476" width="8" style="16" customWidth="1"/>
    <col min="9477" max="9477" width="20.453125" style="16" customWidth="1"/>
    <col min="9478" max="9478" width="8.26953125" style="16" customWidth="1"/>
    <col min="9479" max="9479" width="19.54296875" style="16" customWidth="1"/>
    <col min="9480" max="9728" width="8.7265625" style="16"/>
    <col min="9729" max="9729" width="4.54296875" style="16" customWidth="1"/>
    <col min="9730" max="9730" width="16" style="16" customWidth="1"/>
    <col min="9731" max="9731" width="17.7265625" style="16" customWidth="1"/>
    <col min="9732" max="9732" width="8" style="16" customWidth="1"/>
    <col min="9733" max="9733" width="20.453125" style="16" customWidth="1"/>
    <col min="9734" max="9734" width="8.26953125" style="16" customWidth="1"/>
    <col min="9735" max="9735" width="19.54296875" style="16" customWidth="1"/>
    <col min="9736" max="9984" width="8.7265625" style="16"/>
    <col min="9985" max="9985" width="4.54296875" style="16" customWidth="1"/>
    <col min="9986" max="9986" width="16" style="16" customWidth="1"/>
    <col min="9987" max="9987" width="17.7265625" style="16" customWidth="1"/>
    <col min="9988" max="9988" width="8" style="16" customWidth="1"/>
    <col min="9989" max="9989" width="20.453125" style="16" customWidth="1"/>
    <col min="9990" max="9990" width="8.26953125" style="16" customWidth="1"/>
    <col min="9991" max="9991" width="19.54296875" style="16" customWidth="1"/>
    <col min="9992" max="10240" width="8.7265625" style="16"/>
    <col min="10241" max="10241" width="4.54296875" style="16" customWidth="1"/>
    <col min="10242" max="10242" width="16" style="16" customWidth="1"/>
    <col min="10243" max="10243" width="17.7265625" style="16" customWidth="1"/>
    <col min="10244" max="10244" width="8" style="16" customWidth="1"/>
    <col min="10245" max="10245" width="20.453125" style="16" customWidth="1"/>
    <col min="10246" max="10246" width="8.26953125" style="16" customWidth="1"/>
    <col min="10247" max="10247" width="19.54296875" style="16" customWidth="1"/>
    <col min="10248" max="10496" width="8.7265625" style="16"/>
    <col min="10497" max="10497" width="4.54296875" style="16" customWidth="1"/>
    <col min="10498" max="10498" width="16" style="16" customWidth="1"/>
    <col min="10499" max="10499" width="17.7265625" style="16" customWidth="1"/>
    <col min="10500" max="10500" width="8" style="16" customWidth="1"/>
    <col min="10501" max="10501" width="20.453125" style="16" customWidth="1"/>
    <col min="10502" max="10502" width="8.26953125" style="16" customWidth="1"/>
    <col min="10503" max="10503" width="19.54296875" style="16" customWidth="1"/>
    <col min="10504" max="10752" width="8.7265625" style="16"/>
    <col min="10753" max="10753" width="4.54296875" style="16" customWidth="1"/>
    <col min="10754" max="10754" width="16" style="16" customWidth="1"/>
    <col min="10755" max="10755" width="17.7265625" style="16" customWidth="1"/>
    <col min="10756" max="10756" width="8" style="16" customWidth="1"/>
    <col min="10757" max="10757" width="20.453125" style="16" customWidth="1"/>
    <col min="10758" max="10758" width="8.26953125" style="16" customWidth="1"/>
    <col min="10759" max="10759" width="19.54296875" style="16" customWidth="1"/>
    <col min="10760" max="11008" width="8.7265625" style="16"/>
    <col min="11009" max="11009" width="4.54296875" style="16" customWidth="1"/>
    <col min="11010" max="11010" width="16" style="16" customWidth="1"/>
    <col min="11011" max="11011" width="17.7265625" style="16" customWidth="1"/>
    <col min="11012" max="11012" width="8" style="16" customWidth="1"/>
    <col min="11013" max="11013" width="20.453125" style="16" customWidth="1"/>
    <col min="11014" max="11014" width="8.26953125" style="16" customWidth="1"/>
    <col min="11015" max="11015" width="19.54296875" style="16" customWidth="1"/>
    <col min="11016" max="11264" width="8.7265625" style="16"/>
    <col min="11265" max="11265" width="4.54296875" style="16" customWidth="1"/>
    <col min="11266" max="11266" width="16" style="16" customWidth="1"/>
    <col min="11267" max="11267" width="17.7265625" style="16" customWidth="1"/>
    <col min="11268" max="11268" width="8" style="16" customWidth="1"/>
    <col min="11269" max="11269" width="20.453125" style="16" customWidth="1"/>
    <col min="11270" max="11270" width="8.26953125" style="16" customWidth="1"/>
    <col min="11271" max="11271" width="19.54296875" style="16" customWidth="1"/>
    <col min="11272" max="11520" width="8.7265625" style="16"/>
    <col min="11521" max="11521" width="4.54296875" style="16" customWidth="1"/>
    <col min="11522" max="11522" width="16" style="16" customWidth="1"/>
    <col min="11523" max="11523" width="17.7265625" style="16" customWidth="1"/>
    <col min="11524" max="11524" width="8" style="16" customWidth="1"/>
    <col min="11525" max="11525" width="20.453125" style="16" customWidth="1"/>
    <col min="11526" max="11526" width="8.26953125" style="16" customWidth="1"/>
    <col min="11527" max="11527" width="19.54296875" style="16" customWidth="1"/>
    <col min="11528" max="11776" width="8.7265625" style="16"/>
    <col min="11777" max="11777" width="4.54296875" style="16" customWidth="1"/>
    <col min="11778" max="11778" width="16" style="16" customWidth="1"/>
    <col min="11779" max="11779" width="17.7265625" style="16" customWidth="1"/>
    <col min="11780" max="11780" width="8" style="16" customWidth="1"/>
    <col min="11781" max="11781" width="20.453125" style="16" customWidth="1"/>
    <col min="11782" max="11782" width="8.26953125" style="16" customWidth="1"/>
    <col min="11783" max="11783" width="19.54296875" style="16" customWidth="1"/>
    <col min="11784" max="12032" width="8.7265625" style="16"/>
    <col min="12033" max="12033" width="4.54296875" style="16" customWidth="1"/>
    <col min="12034" max="12034" width="16" style="16" customWidth="1"/>
    <col min="12035" max="12035" width="17.7265625" style="16" customWidth="1"/>
    <col min="12036" max="12036" width="8" style="16" customWidth="1"/>
    <col min="12037" max="12037" width="20.453125" style="16" customWidth="1"/>
    <col min="12038" max="12038" width="8.26953125" style="16" customWidth="1"/>
    <col min="12039" max="12039" width="19.54296875" style="16" customWidth="1"/>
    <col min="12040" max="12288" width="8.7265625" style="16"/>
    <col min="12289" max="12289" width="4.54296875" style="16" customWidth="1"/>
    <col min="12290" max="12290" width="16" style="16" customWidth="1"/>
    <col min="12291" max="12291" width="17.7265625" style="16" customWidth="1"/>
    <col min="12292" max="12292" width="8" style="16" customWidth="1"/>
    <col min="12293" max="12293" width="20.453125" style="16" customWidth="1"/>
    <col min="12294" max="12294" width="8.26953125" style="16" customWidth="1"/>
    <col min="12295" max="12295" width="19.54296875" style="16" customWidth="1"/>
    <col min="12296" max="12544" width="8.7265625" style="16"/>
    <col min="12545" max="12545" width="4.54296875" style="16" customWidth="1"/>
    <col min="12546" max="12546" width="16" style="16" customWidth="1"/>
    <col min="12547" max="12547" width="17.7265625" style="16" customWidth="1"/>
    <col min="12548" max="12548" width="8" style="16" customWidth="1"/>
    <col min="12549" max="12549" width="20.453125" style="16" customWidth="1"/>
    <col min="12550" max="12550" width="8.26953125" style="16" customWidth="1"/>
    <col min="12551" max="12551" width="19.54296875" style="16" customWidth="1"/>
    <col min="12552" max="12800" width="8.7265625" style="16"/>
    <col min="12801" max="12801" width="4.54296875" style="16" customWidth="1"/>
    <col min="12802" max="12802" width="16" style="16" customWidth="1"/>
    <col min="12803" max="12803" width="17.7265625" style="16" customWidth="1"/>
    <col min="12804" max="12804" width="8" style="16" customWidth="1"/>
    <col min="12805" max="12805" width="20.453125" style="16" customWidth="1"/>
    <col min="12806" max="12806" width="8.26953125" style="16" customWidth="1"/>
    <col min="12807" max="12807" width="19.54296875" style="16" customWidth="1"/>
    <col min="12808" max="13056" width="8.7265625" style="16"/>
    <col min="13057" max="13057" width="4.54296875" style="16" customWidth="1"/>
    <col min="13058" max="13058" width="16" style="16" customWidth="1"/>
    <col min="13059" max="13059" width="17.7265625" style="16" customWidth="1"/>
    <col min="13060" max="13060" width="8" style="16" customWidth="1"/>
    <col min="13061" max="13061" width="20.453125" style="16" customWidth="1"/>
    <col min="13062" max="13062" width="8.26953125" style="16" customWidth="1"/>
    <col min="13063" max="13063" width="19.54296875" style="16" customWidth="1"/>
    <col min="13064" max="13312" width="8.7265625" style="16"/>
    <col min="13313" max="13313" width="4.54296875" style="16" customWidth="1"/>
    <col min="13314" max="13314" width="16" style="16" customWidth="1"/>
    <col min="13315" max="13315" width="17.7265625" style="16" customWidth="1"/>
    <col min="13316" max="13316" width="8" style="16" customWidth="1"/>
    <col min="13317" max="13317" width="20.453125" style="16" customWidth="1"/>
    <col min="13318" max="13318" width="8.26953125" style="16" customWidth="1"/>
    <col min="13319" max="13319" width="19.54296875" style="16" customWidth="1"/>
    <col min="13320" max="13568" width="8.7265625" style="16"/>
    <col min="13569" max="13569" width="4.54296875" style="16" customWidth="1"/>
    <col min="13570" max="13570" width="16" style="16" customWidth="1"/>
    <col min="13571" max="13571" width="17.7265625" style="16" customWidth="1"/>
    <col min="13572" max="13572" width="8" style="16" customWidth="1"/>
    <col min="13573" max="13573" width="20.453125" style="16" customWidth="1"/>
    <col min="13574" max="13574" width="8.26953125" style="16" customWidth="1"/>
    <col min="13575" max="13575" width="19.54296875" style="16" customWidth="1"/>
    <col min="13576" max="13824" width="8.7265625" style="16"/>
    <col min="13825" max="13825" width="4.54296875" style="16" customWidth="1"/>
    <col min="13826" max="13826" width="16" style="16" customWidth="1"/>
    <col min="13827" max="13827" width="17.7265625" style="16" customWidth="1"/>
    <col min="13828" max="13828" width="8" style="16" customWidth="1"/>
    <col min="13829" max="13829" width="20.453125" style="16" customWidth="1"/>
    <col min="13830" max="13830" width="8.26953125" style="16" customWidth="1"/>
    <col min="13831" max="13831" width="19.54296875" style="16" customWidth="1"/>
    <col min="13832" max="14080" width="8.7265625" style="16"/>
    <col min="14081" max="14081" width="4.54296875" style="16" customWidth="1"/>
    <col min="14082" max="14082" width="16" style="16" customWidth="1"/>
    <col min="14083" max="14083" width="17.7265625" style="16" customWidth="1"/>
    <col min="14084" max="14084" width="8" style="16" customWidth="1"/>
    <col min="14085" max="14085" width="20.453125" style="16" customWidth="1"/>
    <col min="14086" max="14086" width="8.26953125" style="16" customWidth="1"/>
    <col min="14087" max="14087" width="19.54296875" style="16" customWidth="1"/>
    <col min="14088" max="14336" width="8.7265625" style="16"/>
    <col min="14337" max="14337" width="4.54296875" style="16" customWidth="1"/>
    <col min="14338" max="14338" width="16" style="16" customWidth="1"/>
    <col min="14339" max="14339" width="17.7265625" style="16" customWidth="1"/>
    <col min="14340" max="14340" width="8" style="16" customWidth="1"/>
    <col min="14341" max="14341" width="20.453125" style="16" customWidth="1"/>
    <col min="14342" max="14342" width="8.26953125" style="16" customWidth="1"/>
    <col min="14343" max="14343" width="19.54296875" style="16" customWidth="1"/>
    <col min="14344" max="14592" width="8.7265625" style="16"/>
    <col min="14593" max="14593" width="4.54296875" style="16" customWidth="1"/>
    <col min="14594" max="14594" width="16" style="16" customWidth="1"/>
    <col min="14595" max="14595" width="17.7265625" style="16" customWidth="1"/>
    <col min="14596" max="14596" width="8" style="16" customWidth="1"/>
    <col min="14597" max="14597" width="20.453125" style="16" customWidth="1"/>
    <col min="14598" max="14598" width="8.26953125" style="16" customWidth="1"/>
    <col min="14599" max="14599" width="19.54296875" style="16" customWidth="1"/>
    <col min="14600" max="14848" width="8.7265625" style="16"/>
    <col min="14849" max="14849" width="4.54296875" style="16" customWidth="1"/>
    <col min="14850" max="14850" width="16" style="16" customWidth="1"/>
    <col min="14851" max="14851" width="17.7265625" style="16" customWidth="1"/>
    <col min="14852" max="14852" width="8" style="16" customWidth="1"/>
    <col min="14853" max="14853" width="20.453125" style="16" customWidth="1"/>
    <col min="14854" max="14854" width="8.26953125" style="16" customWidth="1"/>
    <col min="14855" max="14855" width="19.54296875" style="16" customWidth="1"/>
    <col min="14856" max="15104" width="8.7265625" style="16"/>
    <col min="15105" max="15105" width="4.54296875" style="16" customWidth="1"/>
    <col min="15106" max="15106" width="16" style="16" customWidth="1"/>
    <col min="15107" max="15107" width="17.7265625" style="16" customWidth="1"/>
    <col min="15108" max="15108" width="8" style="16" customWidth="1"/>
    <col min="15109" max="15109" width="20.453125" style="16" customWidth="1"/>
    <col min="15110" max="15110" width="8.26953125" style="16" customWidth="1"/>
    <col min="15111" max="15111" width="19.54296875" style="16" customWidth="1"/>
    <col min="15112" max="15360" width="8.7265625" style="16"/>
    <col min="15361" max="15361" width="4.54296875" style="16" customWidth="1"/>
    <col min="15362" max="15362" width="16" style="16" customWidth="1"/>
    <col min="15363" max="15363" width="17.7265625" style="16" customWidth="1"/>
    <col min="15364" max="15364" width="8" style="16" customWidth="1"/>
    <col min="15365" max="15365" width="20.453125" style="16" customWidth="1"/>
    <col min="15366" max="15366" width="8.26953125" style="16" customWidth="1"/>
    <col min="15367" max="15367" width="19.54296875" style="16" customWidth="1"/>
    <col min="15368" max="15616" width="8.7265625" style="16"/>
    <col min="15617" max="15617" width="4.54296875" style="16" customWidth="1"/>
    <col min="15618" max="15618" width="16" style="16" customWidth="1"/>
    <col min="15619" max="15619" width="17.7265625" style="16" customWidth="1"/>
    <col min="15620" max="15620" width="8" style="16" customWidth="1"/>
    <col min="15621" max="15621" width="20.453125" style="16" customWidth="1"/>
    <col min="15622" max="15622" width="8.26953125" style="16" customWidth="1"/>
    <col min="15623" max="15623" width="19.54296875" style="16" customWidth="1"/>
    <col min="15624" max="15872" width="8.7265625" style="16"/>
    <col min="15873" max="15873" width="4.54296875" style="16" customWidth="1"/>
    <col min="15874" max="15874" width="16" style="16" customWidth="1"/>
    <col min="15875" max="15875" width="17.7265625" style="16" customWidth="1"/>
    <col min="15876" max="15876" width="8" style="16" customWidth="1"/>
    <col min="15877" max="15877" width="20.453125" style="16" customWidth="1"/>
    <col min="15878" max="15878" width="8.26953125" style="16" customWidth="1"/>
    <col min="15879" max="15879" width="19.54296875" style="16" customWidth="1"/>
    <col min="15880" max="16128" width="8.7265625" style="16"/>
    <col min="16129" max="16129" width="4.54296875" style="16" customWidth="1"/>
    <col min="16130" max="16130" width="16" style="16" customWidth="1"/>
    <col min="16131" max="16131" width="17.7265625" style="16" customWidth="1"/>
    <col min="16132" max="16132" width="8" style="16" customWidth="1"/>
    <col min="16133" max="16133" width="20.453125" style="16" customWidth="1"/>
    <col min="16134" max="16134" width="8.26953125" style="16" customWidth="1"/>
    <col min="16135" max="16135" width="19.54296875" style="16" customWidth="1"/>
    <col min="16136" max="16384" width="8.7265625" style="16"/>
  </cols>
  <sheetData>
    <row r="1" spans="1:7" ht="17.5" x14ac:dyDescent="0.35">
      <c r="A1" s="168" t="s">
        <v>144</v>
      </c>
      <c r="B1" s="168"/>
      <c r="C1" s="168"/>
      <c r="D1" s="168"/>
      <c r="E1" s="168"/>
      <c r="F1" s="168"/>
      <c r="G1" s="168"/>
    </row>
    <row r="2" spans="1:7" ht="33" customHeight="1" x14ac:dyDescent="0.25">
      <c r="A2" s="160" t="s">
        <v>145</v>
      </c>
      <c r="B2" s="173"/>
      <c r="C2" s="173"/>
      <c r="D2" s="173"/>
      <c r="E2" s="173"/>
      <c r="F2" s="173"/>
      <c r="G2" s="173"/>
    </row>
    <row r="3" spans="1:7" ht="147" customHeight="1" x14ac:dyDescent="0.25">
      <c r="A3" s="65" t="s">
        <v>133</v>
      </c>
      <c r="B3" s="67" t="s">
        <v>146</v>
      </c>
      <c r="C3" s="67" t="s">
        <v>147</v>
      </c>
      <c r="D3" s="68" t="s">
        <v>148</v>
      </c>
      <c r="E3" s="67" t="s">
        <v>149</v>
      </c>
      <c r="F3" s="68" t="s">
        <v>150</v>
      </c>
      <c r="G3" s="67" t="s">
        <v>151</v>
      </c>
    </row>
    <row r="4" spans="1:7" ht="13.5" customHeight="1" x14ac:dyDescent="0.25">
      <c r="A4" s="69">
        <v>1</v>
      </c>
      <c r="B4" s="69">
        <v>2</v>
      </c>
      <c r="C4" s="69">
        <v>3</v>
      </c>
      <c r="D4" s="69">
        <v>4</v>
      </c>
      <c r="E4" s="69" t="s">
        <v>21</v>
      </c>
      <c r="F4" s="69" t="s">
        <v>67</v>
      </c>
      <c r="G4" s="69" t="s">
        <v>152</v>
      </c>
    </row>
    <row r="5" spans="1:7" ht="27.75" customHeight="1" x14ac:dyDescent="0.3">
      <c r="A5" s="70"/>
      <c r="B5" s="70"/>
      <c r="C5" s="70"/>
      <c r="D5" s="70"/>
      <c r="E5" s="70"/>
      <c r="F5" s="70"/>
      <c r="G5" s="70"/>
    </row>
    <row r="6" spans="1:7" ht="27.75" customHeight="1" x14ac:dyDescent="0.3">
      <c r="A6" s="70"/>
      <c r="B6" s="70"/>
      <c r="C6" s="70"/>
      <c r="D6" s="70"/>
      <c r="E6" s="70"/>
      <c r="F6" s="70"/>
      <c r="G6" s="70"/>
    </row>
    <row r="7" spans="1:7" ht="27.75" customHeight="1" x14ac:dyDescent="0.3">
      <c r="A7" s="70"/>
      <c r="B7" s="70"/>
      <c r="C7" s="70"/>
      <c r="D7" s="70"/>
      <c r="E7" s="70"/>
      <c r="F7" s="70"/>
      <c r="G7" s="70"/>
    </row>
    <row r="8" spans="1:7" ht="27.75" customHeight="1" x14ac:dyDescent="0.3">
      <c r="A8" s="70"/>
      <c r="B8" s="70"/>
      <c r="C8" s="70"/>
      <c r="D8" s="70"/>
      <c r="E8" s="70"/>
      <c r="F8" s="70"/>
      <c r="G8" s="70"/>
    </row>
    <row r="9" spans="1:7" ht="27.75" customHeight="1" x14ac:dyDescent="0.3">
      <c r="A9" s="70"/>
      <c r="B9" s="70"/>
      <c r="C9" s="70"/>
      <c r="D9" s="70"/>
      <c r="E9" s="70"/>
      <c r="F9" s="70"/>
      <c r="G9" s="70"/>
    </row>
    <row r="10" spans="1:7" ht="27.75" customHeight="1" x14ac:dyDescent="0.3">
      <c r="A10" s="70"/>
      <c r="B10" s="70"/>
      <c r="C10" s="70"/>
      <c r="D10" s="70"/>
      <c r="E10" s="70"/>
      <c r="F10" s="70"/>
      <c r="G10" s="70"/>
    </row>
    <row r="11" spans="1:7" ht="27.75" customHeight="1" x14ac:dyDescent="0.3">
      <c r="A11" s="70"/>
      <c r="B11" s="70"/>
      <c r="C11" s="70"/>
      <c r="D11" s="70"/>
      <c r="E11" s="70"/>
      <c r="F11" s="70"/>
      <c r="G11" s="70"/>
    </row>
    <row r="12" spans="1:7" ht="27.75" customHeight="1" x14ac:dyDescent="0.3">
      <c r="A12" s="70"/>
      <c r="B12" s="70"/>
      <c r="C12" s="70"/>
      <c r="D12" s="70"/>
      <c r="E12" s="70"/>
      <c r="F12" s="70"/>
      <c r="G12" s="70"/>
    </row>
    <row r="13" spans="1:7" ht="27.75" customHeight="1" x14ac:dyDescent="0.3">
      <c r="A13" s="70"/>
      <c r="B13" s="70"/>
      <c r="C13" s="70"/>
      <c r="D13" s="70"/>
      <c r="E13" s="70"/>
      <c r="F13" s="70"/>
      <c r="G13" s="70"/>
    </row>
    <row r="14" spans="1:7" ht="27.75" customHeight="1" x14ac:dyDescent="0.3">
      <c r="A14" s="70"/>
      <c r="B14" s="70"/>
      <c r="C14" s="70"/>
      <c r="D14" s="70"/>
      <c r="E14" s="70"/>
      <c r="F14" s="70"/>
      <c r="G14" s="70"/>
    </row>
    <row r="15" spans="1:7" ht="27.75" customHeight="1" x14ac:dyDescent="0.3">
      <c r="A15" s="70"/>
      <c r="B15" s="70"/>
      <c r="C15" s="70"/>
      <c r="D15" s="70"/>
      <c r="E15" s="70"/>
      <c r="F15" s="70"/>
      <c r="G15" s="70"/>
    </row>
    <row r="16" spans="1:7" ht="27.75" customHeight="1" x14ac:dyDescent="0.3">
      <c r="A16" s="70"/>
      <c r="B16" s="70"/>
      <c r="C16" s="70"/>
      <c r="D16" s="70"/>
      <c r="E16" s="70"/>
      <c r="F16" s="70"/>
      <c r="G16" s="70"/>
    </row>
    <row r="17" spans="1:7" ht="27.75" customHeight="1" x14ac:dyDescent="0.3">
      <c r="A17" s="70"/>
      <c r="B17" s="70"/>
      <c r="C17" s="70"/>
      <c r="D17" s="70"/>
      <c r="E17" s="70"/>
      <c r="F17" s="70"/>
      <c r="G17" s="70"/>
    </row>
    <row r="18" spans="1:7" ht="27.75" customHeight="1" x14ac:dyDescent="0.3">
      <c r="A18" s="70"/>
      <c r="B18" s="70"/>
      <c r="C18" s="70"/>
      <c r="D18" s="70"/>
      <c r="E18" s="70"/>
      <c r="F18" s="70"/>
      <c r="G18" s="70"/>
    </row>
    <row r="19" spans="1:7" ht="27.75" customHeight="1" x14ac:dyDescent="0.3">
      <c r="A19" s="70"/>
      <c r="B19" s="70"/>
      <c r="C19" s="70"/>
      <c r="D19" s="70"/>
      <c r="E19" s="70"/>
      <c r="F19" s="70"/>
      <c r="G19" s="70"/>
    </row>
    <row r="20" spans="1:7" ht="27.75" customHeight="1" x14ac:dyDescent="0.3">
      <c r="A20" s="70"/>
      <c r="B20" s="70"/>
      <c r="C20" s="70"/>
      <c r="D20" s="70"/>
      <c r="E20" s="70"/>
      <c r="F20" s="70"/>
      <c r="G20" s="70"/>
    </row>
    <row r="21" spans="1:7" ht="27.75" customHeight="1" x14ac:dyDescent="0.3">
      <c r="A21" s="70"/>
      <c r="B21" s="70"/>
      <c r="C21" s="70"/>
      <c r="D21" s="70"/>
      <c r="E21" s="70"/>
      <c r="F21" s="70"/>
      <c r="G21" s="70"/>
    </row>
    <row r="22" spans="1:7" ht="27.75" customHeight="1" x14ac:dyDescent="0.3">
      <c r="A22" s="70"/>
      <c r="B22" s="70"/>
      <c r="C22" s="70"/>
      <c r="D22" s="70"/>
      <c r="E22" s="70"/>
      <c r="F22" s="70"/>
      <c r="G22" s="70"/>
    </row>
    <row r="23" spans="1:7" ht="27.75" customHeight="1" x14ac:dyDescent="0.3">
      <c r="A23" s="70"/>
      <c r="B23" s="70"/>
      <c r="C23" s="70"/>
      <c r="D23" s="70"/>
      <c r="E23" s="70"/>
      <c r="F23" s="70"/>
      <c r="G23" s="70"/>
    </row>
    <row r="24" spans="1:7" ht="27.75" customHeight="1" x14ac:dyDescent="0.3">
      <c r="A24" s="70"/>
      <c r="B24" s="70"/>
      <c r="C24" s="70"/>
      <c r="D24" s="70"/>
      <c r="E24" s="70"/>
      <c r="F24" s="70"/>
      <c r="G24" s="70"/>
    </row>
    <row r="25" spans="1:7" ht="27.75" customHeight="1" x14ac:dyDescent="0.3">
      <c r="A25" s="70"/>
      <c r="B25" s="70"/>
      <c r="C25" s="70"/>
      <c r="D25" s="70"/>
      <c r="E25" s="70"/>
      <c r="F25" s="70"/>
      <c r="G25" s="70"/>
    </row>
    <row r="26" spans="1:7" ht="27.75" customHeight="1" x14ac:dyDescent="0.3">
      <c r="A26" s="70"/>
      <c r="B26" s="70"/>
      <c r="C26" s="70"/>
      <c r="D26" s="70"/>
      <c r="E26" s="70"/>
      <c r="F26" s="70"/>
      <c r="G26" s="70"/>
    </row>
    <row r="27" spans="1:7" ht="27.75" customHeight="1" x14ac:dyDescent="0.3">
      <c r="A27" s="70"/>
      <c r="B27" s="70"/>
      <c r="C27" s="70"/>
      <c r="D27" s="70"/>
      <c r="E27" s="70"/>
      <c r="F27" s="70"/>
      <c r="G27" s="70"/>
    </row>
    <row r="28" spans="1:7" ht="27.75" customHeight="1" x14ac:dyDescent="0.3">
      <c r="A28" s="70"/>
      <c r="B28" s="70"/>
      <c r="C28" s="70"/>
      <c r="D28" s="70"/>
      <c r="E28" s="70"/>
      <c r="F28" s="70"/>
      <c r="G28" s="70"/>
    </row>
    <row r="29" spans="1:7" ht="27.75" customHeight="1" x14ac:dyDescent="0.3">
      <c r="A29" s="70"/>
      <c r="B29" s="70"/>
      <c r="C29" s="70"/>
      <c r="D29" s="70"/>
      <c r="E29" s="70"/>
      <c r="F29" s="70"/>
      <c r="G29" s="70"/>
    </row>
    <row r="30" spans="1:7" ht="27.75" customHeight="1" x14ac:dyDescent="0.3">
      <c r="A30" s="70"/>
      <c r="B30" s="70"/>
      <c r="C30" s="70"/>
      <c r="D30" s="70"/>
      <c r="E30" s="70"/>
      <c r="F30" s="70"/>
      <c r="G30" s="70"/>
    </row>
    <row r="31" spans="1:7" ht="27.75" customHeight="1" x14ac:dyDescent="0.3">
      <c r="A31" s="70"/>
      <c r="B31" s="70"/>
      <c r="C31" s="70"/>
      <c r="D31" s="70"/>
      <c r="E31" s="70"/>
      <c r="F31" s="70"/>
      <c r="G31" s="70"/>
    </row>
    <row r="32" spans="1:7" ht="27.75" customHeight="1" x14ac:dyDescent="0.3">
      <c r="A32" s="70"/>
      <c r="B32" s="70"/>
      <c r="C32" s="70"/>
      <c r="D32" s="70"/>
      <c r="E32" s="70"/>
      <c r="F32" s="70"/>
      <c r="G32" s="70"/>
    </row>
    <row r="33" spans="1:7" ht="27.75" customHeight="1" x14ac:dyDescent="0.3">
      <c r="A33" s="70"/>
      <c r="B33" s="70"/>
      <c r="C33" s="70"/>
      <c r="D33" s="70"/>
      <c r="E33" s="70"/>
      <c r="F33" s="70"/>
      <c r="G33" s="70"/>
    </row>
    <row r="34" spans="1:7" ht="27.75" customHeight="1" x14ac:dyDescent="0.3">
      <c r="A34" s="70"/>
      <c r="B34" s="70"/>
      <c r="C34" s="70"/>
      <c r="D34" s="70"/>
      <c r="E34" s="70"/>
      <c r="F34" s="70"/>
      <c r="G34" s="70"/>
    </row>
    <row r="35" spans="1:7" ht="27.75" customHeight="1" x14ac:dyDescent="0.3">
      <c r="A35" s="70"/>
      <c r="B35" s="70"/>
      <c r="C35" s="70"/>
      <c r="D35" s="70"/>
      <c r="E35" s="70"/>
      <c r="F35" s="70"/>
      <c r="G35" s="70"/>
    </row>
    <row r="36" spans="1:7" ht="27.75" customHeight="1" x14ac:dyDescent="0.3">
      <c r="A36" s="70"/>
      <c r="B36" s="70"/>
      <c r="C36" s="70"/>
      <c r="D36" s="70"/>
      <c r="E36" s="70"/>
      <c r="F36" s="70"/>
      <c r="G36" s="70"/>
    </row>
    <row r="37" spans="1:7" ht="27.75" customHeight="1" x14ac:dyDescent="0.3">
      <c r="A37" s="70"/>
      <c r="B37" s="70"/>
      <c r="C37" s="70"/>
      <c r="D37" s="70"/>
      <c r="E37" s="70"/>
      <c r="F37" s="70"/>
      <c r="G37" s="70"/>
    </row>
    <row r="38" spans="1:7" ht="27.75" customHeight="1" x14ac:dyDescent="0.3">
      <c r="A38" s="70"/>
      <c r="B38" s="70"/>
      <c r="C38" s="70"/>
      <c r="D38" s="70"/>
      <c r="E38" s="70"/>
      <c r="F38" s="70"/>
      <c r="G38" s="70"/>
    </row>
    <row r="39" spans="1:7" ht="27.75" customHeight="1" x14ac:dyDescent="0.3">
      <c r="A39" s="70"/>
      <c r="B39" s="70"/>
      <c r="C39" s="70"/>
      <c r="D39" s="70"/>
      <c r="E39" s="70"/>
      <c r="F39" s="70"/>
      <c r="G39" s="70"/>
    </row>
    <row r="40" spans="1:7" ht="27.75" customHeight="1" x14ac:dyDescent="0.3">
      <c r="A40" s="70"/>
      <c r="B40" s="70"/>
      <c r="C40" s="70"/>
      <c r="D40" s="70"/>
      <c r="E40" s="70"/>
      <c r="F40" s="70"/>
      <c r="G40" s="70"/>
    </row>
    <row r="41" spans="1:7" ht="27.75" customHeight="1" x14ac:dyDescent="0.3">
      <c r="A41" s="70"/>
      <c r="B41" s="70"/>
      <c r="C41" s="70"/>
      <c r="D41" s="70"/>
      <c r="E41" s="70"/>
      <c r="F41" s="70"/>
      <c r="G41" s="70"/>
    </row>
    <row r="42" spans="1:7" ht="27.75" customHeight="1" x14ac:dyDescent="0.3">
      <c r="A42" s="70"/>
      <c r="B42" s="70"/>
      <c r="C42" s="70"/>
      <c r="D42" s="70"/>
      <c r="E42" s="70"/>
      <c r="F42" s="70"/>
      <c r="G42" s="70"/>
    </row>
    <row r="43" spans="1:7" ht="27.75" customHeight="1" x14ac:dyDescent="0.3">
      <c r="A43" s="70"/>
      <c r="B43" s="70"/>
      <c r="C43" s="70"/>
      <c r="D43" s="70"/>
      <c r="E43" s="70"/>
      <c r="F43" s="70"/>
      <c r="G43" s="70"/>
    </row>
    <row r="44" spans="1:7" ht="27.75" customHeight="1" x14ac:dyDescent="0.3">
      <c r="A44" s="70"/>
      <c r="B44" s="70"/>
      <c r="C44" s="70"/>
      <c r="D44" s="70"/>
      <c r="E44" s="70"/>
      <c r="F44" s="70"/>
      <c r="G44" s="70"/>
    </row>
    <row r="45" spans="1:7" ht="27.75" customHeight="1" x14ac:dyDescent="0.3">
      <c r="A45" s="70"/>
      <c r="B45" s="70"/>
      <c r="C45" s="70"/>
      <c r="D45" s="70"/>
      <c r="E45" s="70"/>
      <c r="F45" s="70"/>
      <c r="G45" s="70"/>
    </row>
    <row r="46" spans="1:7" ht="27.75" customHeight="1" x14ac:dyDescent="0.3">
      <c r="A46" s="70"/>
      <c r="B46" s="70"/>
      <c r="C46" s="70"/>
      <c r="D46" s="70"/>
      <c r="E46" s="70"/>
      <c r="F46" s="70"/>
      <c r="G46" s="70"/>
    </row>
    <row r="47" spans="1:7" ht="27.75" customHeight="1" x14ac:dyDescent="0.3">
      <c r="A47" s="70"/>
      <c r="B47" s="70"/>
      <c r="C47" s="70"/>
      <c r="D47" s="70"/>
      <c r="E47" s="70"/>
      <c r="F47" s="70"/>
      <c r="G47" s="70"/>
    </row>
    <row r="48" spans="1:7" ht="27.75" customHeight="1" x14ac:dyDescent="0.3">
      <c r="A48" s="70"/>
      <c r="B48" s="70"/>
      <c r="C48" s="70"/>
      <c r="D48" s="70"/>
      <c r="E48" s="70"/>
      <c r="F48" s="70"/>
      <c r="G48" s="70"/>
    </row>
    <row r="49" spans="1:7" ht="27.75" customHeight="1" x14ac:dyDescent="0.3">
      <c r="A49" s="70"/>
      <c r="B49" s="70"/>
      <c r="C49" s="70"/>
      <c r="D49" s="70"/>
      <c r="E49" s="70"/>
      <c r="F49" s="70"/>
      <c r="G49" s="70"/>
    </row>
    <row r="50" spans="1:7" ht="27.75" customHeight="1" x14ac:dyDescent="0.3">
      <c r="A50" s="70"/>
      <c r="B50" s="70"/>
      <c r="C50" s="70"/>
      <c r="D50" s="70"/>
      <c r="E50" s="70"/>
      <c r="F50" s="70"/>
      <c r="G50" s="70"/>
    </row>
    <row r="51" spans="1:7" ht="27.75" customHeight="1" x14ac:dyDescent="0.3">
      <c r="A51" s="70"/>
      <c r="B51" s="70"/>
      <c r="C51" s="70"/>
      <c r="D51" s="70"/>
      <c r="E51" s="70"/>
      <c r="F51" s="70"/>
      <c r="G51" s="70"/>
    </row>
    <row r="52" spans="1:7" ht="27.75" customHeight="1" x14ac:dyDescent="0.3">
      <c r="A52" s="70"/>
      <c r="B52" s="70"/>
      <c r="C52" s="70"/>
      <c r="D52" s="70"/>
      <c r="E52" s="70"/>
      <c r="F52" s="70"/>
      <c r="G52" s="70"/>
    </row>
    <row r="53" spans="1:7" ht="27.75" customHeight="1" x14ac:dyDescent="0.3">
      <c r="A53" s="70"/>
      <c r="B53" s="70"/>
      <c r="C53" s="70"/>
      <c r="D53" s="70"/>
      <c r="E53" s="70"/>
      <c r="F53" s="70"/>
      <c r="G53" s="70"/>
    </row>
    <row r="54" spans="1:7" ht="27.75" customHeight="1" x14ac:dyDescent="0.3">
      <c r="A54" s="70"/>
      <c r="B54" s="70"/>
      <c r="C54" s="70"/>
      <c r="D54" s="70"/>
      <c r="E54" s="70"/>
      <c r="F54" s="70"/>
      <c r="G54" s="70"/>
    </row>
    <row r="55" spans="1:7" ht="27.75" customHeight="1" x14ac:dyDescent="0.3">
      <c r="A55" s="70"/>
      <c r="B55" s="70"/>
      <c r="C55" s="70"/>
      <c r="D55" s="70"/>
      <c r="E55" s="70"/>
      <c r="F55" s="70"/>
      <c r="G55" s="70"/>
    </row>
    <row r="56" spans="1:7" ht="27.75" customHeight="1" x14ac:dyDescent="0.3">
      <c r="A56" s="70"/>
      <c r="B56" s="70"/>
      <c r="C56" s="70"/>
      <c r="D56" s="70"/>
      <c r="E56" s="70"/>
      <c r="F56" s="70"/>
      <c r="G56" s="70"/>
    </row>
    <row r="57" spans="1:7" ht="27.75" customHeight="1" x14ac:dyDescent="0.3">
      <c r="A57" s="70"/>
      <c r="B57" s="70"/>
      <c r="C57" s="70"/>
      <c r="D57" s="70"/>
      <c r="E57" s="70"/>
      <c r="F57" s="70"/>
      <c r="G57" s="70"/>
    </row>
    <row r="58" spans="1:7" ht="27.75" customHeight="1" x14ac:dyDescent="0.3">
      <c r="A58" s="70"/>
      <c r="B58" s="70"/>
      <c r="C58" s="70"/>
      <c r="D58" s="70"/>
      <c r="E58" s="70"/>
      <c r="F58" s="70"/>
      <c r="G58" s="70"/>
    </row>
    <row r="59" spans="1:7" ht="27.75" customHeight="1" x14ac:dyDescent="0.3">
      <c r="A59" s="70"/>
      <c r="B59" s="70"/>
      <c r="C59" s="70"/>
      <c r="D59" s="70"/>
      <c r="E59" s="70"/>
      <c r="F59" s="70"/>
      <c r="G59" s="70"/>
    </row>
    <row r="60" spans="1:7" ht="27.75" customHeight="1" x14ac:dyDescent="0.3">
      <c r="A60" s="70"/>
      <c r="B60" s="70"/>
      <c r="C60" s="70"/>
      <c r="D60" s="70"/>
      <c r="E60" s="70"/>
      <c r="F60" s="70"/>
      <c r="G60" s="70"/>
    </row>
    <row r="61" spans="1:7" ht="27.75" customHeight="1" x14ac:dyDescent="0.3">
      <c r="A61" s="70"/>
      <c r="B61" s="70"/>
      <c r="C61" s="70"/>
      <c r="D61" s="70"/>
      <c r="E61" s="70"/>
      <c r="F61" s="70"/>
      <c r="G61" s="70"/>
    </row>
    <row r="62" spans="1:7" ht="27.75" customHeight="1" x14ac:dyDescent="0.3">
      <c r="A62" s="70"/>
      <c r="B62" s="70"/>
      <c r="C62" s="70"/>
      <c r="D62" s="70"/>
      <c r="E62" s="70"/>
      <c r="F62" s="70"/>
      <c r="G62" s="70"/>
    </row>
    <row r="63" spans="1:7" ht="27.75" customHeight="1" x14ac:dyDescent="0.3">
      <c r="A63" s="70"/>
      <c r="B63" s="70"/>
      <c r="C63" s="70"/>
      <c r="D63" s="70"/>
      <c r="E63" s="70"/>
      <c r="F63" s="70"/>
      <c r="G63" s="70"/>
    </row>
    <row r="64" spans="1:7" ht="27.75" customHeight="1" x14ac:dyDescent="0.3">
      <c r="A64" s="70"/>
      <c r="B64" s="70"/>
      <c r="C64" s="70"/>
      <c r="D64" s="70"/>
      <c r="E64" s="70"/>
      <c r="F64" s="70"/>
      <c r="G64" s="70"/>
    </row>
    <row r="65" spans="1:7" ht="27.75" customHeight="1" x14ac:dyDescent="0.3">
      <c r="A65" s="70"/>
      <c r="B65" s="70"/>
      <c r="C65" s="70"/>
      <c r="D65" s="70"/>
      <c r="E65" s="70"/>
      <c r="F65" s="70"/>
      <c r="G65" s="70"/>
    </row>
    <row r="66" spans="1:7" ht="27.75" customHeight="1" x14ac:dyDescent="0.3">
      <c r="A66" s="70"/>
      <c r="B66" s="70"/>
      <c r="C66" s="70"/>
      <c r="D66" s="70"/>
      <c r="E66" s="70"/>
      <c r="F66" s="70"/>
      <c r="G66" s="70"/>
    </row>
    <row r="67" spans="1:7" ht="27.75" customHeight="1" x14ac:dyDescent="0.3">
      <c r="A67" s="70"/>
      <c r="B67" s="70"/>
      <c r="C67" s="70"/>
      <c r="D67" s="70"/>
      <c r="E67" s="70"/>
      <c r="F67" s="70"/>
      <c r="G67" s="70"/>
    </row>
    <row r="68" spans="1:7" ht="27.75" customHeight="1" x14ac:dyDescent="0.3">
      <c r="A68" s="70"/>
      <c r="B68" s="70"/>
      <c r="C68" s="70"/>
      <c r="D68" s="70"/>
      <c r="E68" s="70"/>
      <c r="F68" s="70"/>
      <c r="G68" s="70"/>
    </row>
    <row r="69" spans="1:7" ht="27.75" customHeight="1" x14ac:dyDescent="0.3">
      <c r="A69" s="70"/>
      <c r="B69" s="70"/>
      <c r="C69" s="70"/>
      <c r="D69" s="70"/>
      <c r="E69" s="70"/>
      <c r="F69" s="70"/>
      <c r="G69" s="70"/>
    </row>
    <row r="70" spans="1:7" ht="27.75" customHeight="1" x14ac:dyDescent="0.3">
      <c r="A70" s="70"/>
      <c r="B70" s="70"/>
      <c r="C70" s="70"/>
      <c r="D70" s="70"/>
      <c r="E70" s="70"/>
      <c r="F70" s="70"/>
      <c r="G70" s="70"/>
    </row>
    <row r="71" spans="1:7" ht="27.75" customHeight="1" x14ac:dyDescent="0.3">
      <c r="A71" s="70"/>
      <c r="B71" s="70"/>
      <c r="C71" s="70"/>
      <c r="D71" s="70"/>
      <c r="E71" s="70"/>
      <c r="F71" s="70"/>
      <c r="G71" s="70"/>
    </row>
    <row r="72" spans="1:7" ht="27.75" customHeight="1" x14ac:dyDescent="0.3">
      <c r="A72" s="70"/>
      <c r="B72" s="70"/>
      <c r="C72" s="70"/>
      <c r="D72" s="70"/>
      <c r="E72" s="70"/>
      <c r="F72" s="70"/>
      <c r="G72" s="70"/>
    </row>
    <row r="73" spans="1:7" ht="27.75" customHeight="1" x14ac:dyDescent="0.3">
      <c r="A73" s="70"/>
      <c r="B73" s="70"/>
      <c r="C73" s="70"/>
      <c r="D73" s="70"/>
      <c r="E73" s="70"/>
      <c r="F73" s="70"/>
      <c r="G73" s="70"/>
    </row>
    <row r="74" spans="1:7" ht="27.75" customHeight="1" x14ac:dyDescent="0.3">
      <c r="A74" s="70"/>
      <c r="B74" s="70"/>
      <c r="C74" s="70"/>
      <c r="D74" s="70"/>
      <c r="E74" s="70"/>
      <c r="F74" s="70"/>
      <c r="G74" s="70"/>
    </row>
    <row r="75" spans="1:7" ht="27.75" customHeight="1" x14ac:dyDescent="0.3">
      <c r="A75" s="70"/>
      <c r="B75" s="70"/>
      <c r="C75" s="70"/>
      <c r="D75" s="70"/>
      <c r="E75" s="70"/>
      <c r="F75" s="70"/>
      <c r="G75" s="70"/>
    </row>
    <row r="76" spans="1:7" ht="27.75" customHeight="1" x14ac:dyDescent="0.3">
      <c r="A76" s="70"/>
      <c r="B76" s="70"/>
      <c r="C76" s="70"/>
      <c r="D76" s="70"/>
      <c r="E76" s="70"/>
      <c r="F76" s="70"/>
      <c r="G76" s="70"/>
    </row>
    <row r="77" spans="1:7" ht="27.75" customHeight="1" x14ac:dyDescent="0.3">
      <c r="A77" s="70"/>
      <c r="B77" s="70"/>
      <c r="C77" s="70"/>
      <c r="D77" s="70"/>
      <c r="E77" s="70"/>
      <c r="F77" s="70"/>
      <c r="G77" s="70"/>
    </row>
    <row r="78" spans="1:7" ht="27.75" customHeight="1" x14ac:dyDescent="0.3">
      <c r="A78" s="70"/>
      <c r="B78" s="70"/>
      <c r="C78" s="70"/>
      <c r="D78" s="70"/>
      <c r="E78" s="70"/>
      <c r="F78" s="70"/>
      <c r="G78" s="70"/>
    </row>
    <row r="79" spans="1:7" ht="27.75" customHeight="1" x14ac:dyDescent="0.3">
      <c r="A79" s="70"/>
      <c r="B79" s="70"/>
      <c r="C79" s="70"/>
      <c r="D79" s="70"/>
      <c r="E79" s="70"/>
      <c r="F79" s="70"/>
      <c r="G79" s="70"/>
    </row>
    <row r="80" spans="1:7" ht="27.75" customHeight="1" x14ac:dyDescent="0.3">
      <c r="A80" s="70"/>
      <c r="B80" s="70"/>
      <c r="C80" s="70"/>
      <c r="D80" s="70"/>
      <c r="E80" s="70"/>
      <c r="F80" s="70"/>
      <c r="G80" s="70"/>
    </row>
    <row r="81" spans="1:7" ht="27.75" customHeight="1" x14ac:dyDescent="0.3">
      <c r="A81" s="70"/>
      <c r="B81" s="70"/>
      <c r="C81" s="70"/>
      <c r="D81" s="70"/>
      <c r="E81" s="70"/>
      <c r="F81" s="70"/>
      <c r="G81" s="70"/>
    </row>
    <row r="82" spans="1:7" ht="27.75" customHeight="1" x14ac:dyDescent="0.3">
      <c r="A82" s="70"/>
      <c r="B82" s="70"/>
      <c r="C82" s="70"/>
      <c r="D82" s="70"/>
      <c r="E82" s="70"/>
      <c r="F82" s="70"/>
      <c r="G82" s="70"/>
    </row>
    <row r="83" spans="1:7" ht="27.75" customHeight="1" x14ac:dyDescent="0.3">
      <c r="A83" s="70"/>
      <c r="B83" s="70"/>
      <c r="C83" s="70"/>
      <c r="D83" s="70"/>
      <c r="E83" s="70"/>
      <c r="F83" s="70"/>
      <c r="G83" s="70"/>
    </row>
    <row r="84" spans="1:7" ht="27.75" customHeight="1" x14ac:dyDescent="0.3">
      <c r="A84" s="70"/>
      <c r="B84" s="70"/>
      <c r="C84" s="70"/>
      <c r="D84" s="70"/>
      <c r="E84" s="70"/>
      <c r="F84" s="70"/>
      <c r="G84" s="70"/>
    </row>
    <row r="85" spans="1:7" ht="27.75" customHeight="1" x14ac:dyDescent="0.3">
      <c r="A85" s="70"/>
      <c r="B85" s="70"/>
      <c r="C85" s="70"/>
      <c r="D85" s="70"/>
      <c r="E85" s="70"/>
      <c r="F85" s="70"/>
      <c r="G85" s="70"/>
    </row>
    <row r="86" spans="1:7" ht="27.75" customHeight="1" x14ac:dyDescent="0.3">
      <c r="A86" s="70"/>
      <c r="B86" s="70"/>
      <c r="C86" s="70"/>
      <c r="D86" s="70"/>
      <c r="E86" s="70"/>
      <c r="F86" s="70"/>
      <c r="G86" s="70"/>
    </row>
    <row r="87" spans="1:7" ht="27.75" customHeight="1" x14ac:dyDescent="0.3">
      <c r="A87" s="70"/>
      <c r="B87" s="70"/>
      <c r="C87" s="70"/>
      <c r="D87" s="70"/>
      <c r="E87" s="70"/>
      <c r="F87" s="70"/>
      <c r="G87" s="70"/>
    </row>
    <row r="88" spans="1:7" ht="27.75" customHeight="1" x14ac:dyDescent="0.3">
      <c r="A88" s="70"/>
      <c r="B88" s="70"/>
      <c r="C88" s="70"/>
      <c r="D88" s="70"/>
      <c r="E88" s="70"/>
      <c r="F88" s="70"/>
      <c r="G88" s="70"/>
    </row>
    <row r="89" spans="1:7" ht="27.75" customHeight="1" x14ac:dyDescent="0.3">
      <c r="A89" s="70"/>
      <c r="B89" s="70"/>
      <c r="C89" s="70"/>
      <c r="D89" s="70"/>
      <c r="E89" s="70"/>
      <c r="F89" s="70"/>
      <c r="G89" s="70"/>
    </row>
    <row r="90" spans="1:7" ht="27.75" customHeight="1" x14ac:dyDescent="0.3">
      <c r="A90" s="70"/>
      <c r="B90" s="70"/>
      <c r="C90" s="70"/>
      <c r="D90" s="70"/>
      <c r="E90" s="70"/>
      <c r="F90" s="70"/>
      <c r="G90" s="70"/>
    </row>
    <row r="91" spans="1:7" ht="27.75" customHeight="1" x14ac:dyDescent="0.3">
      <c r="A91" s="70"/>
      <c r="B91" s="70"/>
      <c r="C91" s="70"/>
      <c r="D91" s="70"/>
      <c r="E91" s="70"/>
      <c r="F91" s="70"/>
      <c r="G91" s="70"/>
    </row>
    <row r="92" spans="1:7" ht="27.75" customHeight="1" x14ac:dyDescent="0.3">
      <c r="A92" s="70"/>
      <c r="B92" s="70"/>
      <c r="C92" s="70"/>
      <c r="D92" s="70"/>
      <c r="E92" s="70"/>
      <c r="F92" s="70"/>
      <c r="G92" s="70"/>
    </row>
    <row r="93" spans="1:7" ht="27.75" customHeight="1" x14ac:dyDescent="0.3">
      <c r="A93" s="70"/>
      <c r="B93" s="70"/>
      <c r="C93" s="70"/>
      <c r="D93" s="70"/>
      <c r="E93" s="70"/>
      <c r="F93" s="70"/>
      <c r="G93" s="70"/>
    </row>
    <row r="94" spans="1:7" ht="27.75" customHeight="1" x14ac:dyDescent="0.3">
      <c r="A94" s="70"/>
      <c r="B94" s="70"/>
      <c r="C94" s="70"/>
      <c r="D94" s="70"/>
      <c r="E94" s="70"/>
      <c r="F94" s="70"/>
      <c r="G94" s="70"/>
    </row>
  </sheetData>
  <mergeCells count="2">
    <mergeCell ref="A1:G1"/>
    <mergeCell ref="A2:G2"/>
  </mergeCells>
  <pageMargins left="0.78740157480314965" right="0.19685039370078741" top="0.39370078740157483" bottom="0.39370078740157483" header="0.51181102362204722" footer="0.51181102362204722"/>
  <pageSetup paperSize="9" scale="98" fitToHeight="0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2">
    <tabColor rgb="FF0066FF"/>
    <pageSetUpPr fitToPage="1"/>
  </sheetPr>
  <dimension ref="A1:E17"/>
  <sheetViews>
    <sheetView showGridLines="0" zoomScaleNormal="100" workbookViewId="0">
      <pane ySplit="5" topLeftCell="A6" activePane="bottomLeft" state="frozen"/>
      <selection activeCell="F20" sqref="F20"/>
      <selection pane="bottomLeft" sqref="A1:C1"/>
    </sheetView>
  </sheetViews>
  <sheetFormatPr defaultRowHeight="14.5" x14ac:dyDescent="0.35"/>
  <cols>
    <col min="1" max="1" width="6.26953125" customWidth="1"/>
    <col min="2" max="2" width="53.54296875" customWidth="1"/>
    <col min="3" max="5" width="67.7265625" customWidth="1"/>
  </cols>
  <sheetData>
    <row r="1" spans="1:5" ht="17.5" x14ac:dyDescent="0.35">
      <c r="A1" s="176" t="s">
        <v>20</v>
      </c>
      <c r="B1" s="176"/>
      <c r="C1" s="176"/>
      <c r="D1" s="85"/>
      <c r="E1" s="85"/>
    </row>
    <row r="2" spans="1:5" x14ac:dyDescent="0.35">
      <c r="A2" s="177" t="s">
        <v>7</v>
      </c>
      <c r="B2" s="177"/>
      <c r="C2" s="177"/>
      <c r="D2" s="86"/>
      <c r="E2" s="86"/>
    </row>
    <row r="3" spans="1:5" x14ac:dyDescent="0.35">
      <c r="A3" s="177" t="s">
        <v>8</v>
      </c>
      <c r="B3" s="177"/>
      <c r="C3" s="177"/>
      <c r="D3" s="86"/>
      <c r="E3" s="86"/>
    </row>
    <row r="4" spans="1:5" ht="64.5" customHeight="1" x14ac:dyDescent="0.35">
      <c r="A4" s="77" t="s">
        <v>166</v>
      </c>
      <c r="B4" s="78" t="s">
        <v>9</v>
      </c>
      <c r="C4" s="77" t="s">
        <v>10</v>
      </c>
      <c r="D4" s="95"/>
      <c r="E4" s="95"/>
    </row>
    <row r="5" spans="1:5" x14ac:dyDescent="0.35">
      <c r="A5" s="73" t="s">
        <v>3</v>
      </c>
      <c r="B5" s="73" t="s">
        <v>4</v>
      </c>
      <c r="C5" s="73" t="s">
        <v>5</v>
      </c>
    </row>
    <row r="6" spans="1:5" ht="87" x14ac:dyDescent="0.35">
      <c r="A6" s="1">
        <v>1</v>
      </c>
      <c r="B6" s="7" t="s">
        <v>190</v>
      </c>
      <c r="C6" s="7" t="s">
        <v>191</v>
      </c>
    </row>
    <row r="7" spans="1:5" ht="87" x14ac:dyDescent="0.35">
      <c r="A7" s="1">
        <v>2</v>
      </c>
      <c r="B7" s="7" t="s">
        <v>190</v>
      </c>
      <c r="C7" s="7" t="s">
        <v>191</v>
      </c>
    </row>
    <row r="8" spans="1:5" ht="87" x14ac:dyDescent="0.35">
      <c r="A8" s="1">
        <v>3</v>
      </c>
      <c r="B8" s="7" t="s">
        <v>190</v>
      </c>
      <c r="C8" s="7" t="s">
        <v>191</v>
      </c>
    </row>
    <row r="9" spans="1:5" ht="72.5" x14ac:dyDescent="0.35">
      <c r="A9" s="1">
        <v>4</v>
      </c>
      <c r="B9" s="7" t="s">
        <v>192</v>
      </c>
      <c r="C9" s="7" t="s">
        <v>193</v>
      </c>
    </row>
    <row r="10" spans="1:5" ht="87" x14ac:dyDescent="0.35">
      <c r="A10" s="1">
        <v>5</v>
      </c>
      <c r="B10" s="7" t="s">
        <v>194</v>
      </c>
      <c r="C10" s="7" t="s">
        <v>195</v>
      </c>
    </row>
    <row r="11" spans="1:5" ht="72.5" x14ac:dyDescent="0.35">
      <c r="A11" s="1">
        <v>6</v>
      </c>
      <c r="B11" s="7" t="s">
        <v>192</v>
      </c>
      <c r="C11" s="7" t="s">
        <v>193</v>
      </c>
    </row>
    <row r="12" spans="1:5" ht="87" x14ac:dyDescent="0.35">
      <c r="A12" s="1">
        <v>7</v>
      </c>
      <c r="B12" s="7" t="s">
        <v>194</v>
      </c>
      <c r="C12" s="7" t="s">
        <v>195</v>
      </c>
    </row>
    <row r="13" spans="1:5" ht="72.5" x14ac:dyDescent="0.35">
      <c r="A13" s="1">
        <v>8</v>
      </c>
      <c r="B13" s="7" t="s">
        <v>192</v>
      </c>
      <c r="C13" s="7" t="s">
        <v>193</v>
      </c>
    </row>
    <row r="14" spans="1:5" ht="87" x14ac:dyDescent="0.35">
      <c r="A14" s="1">
        <v>9</v>
      </c>
      <c r="B14" s="7" t="s">
        <v>194</v>
      </c>
      <c r="C14" s="7" t="s">
        <v>195</v>
      </c>
    </row>
    <row r="15" spans="1:5" ht="72.5" x14ac:dyDescent="0.35">
      <c r="A15" s="1">
        <v>10</v>
      </c>
      <c r="B15" s="7" t="s">
        <v>196</v>
      </c>
      <c r="C15" s="7" t="s">
        <v>197</v>
      </c>
    </row>
    <row r="16" spans="1:5" ht="72.5" x14ac:dyDescent="0.35">
      <c r="A16" s="1">
        <v>11</v>
      </c>
      <c r="B16" s="7" t="s">
        <v>196</v>
      </c>
      <c r="C16" s="7" t="s">
        <v>197</v>
      </c>
    </row>
    <row r="17" spans="1:3" ht="72.5" x14ac:dyDescent="0.35">
      <c r="A17" s="1">
        <v>12</v>
      </c>
      <c r="B17" s="7" t="s">
        <v>196</v>
      </c>
      <c r="C17" s="7" t="s">
        <v>197</v>
      </c>
    </row>
  </sheetData>
  <mergeCells count="3">
    <mergeCell ref="A1:C1"/>
    <mergeCell ref="A2:C2"/>
    <mergeCell ref="A3:C3"/>
  </mergeCells>
  <phoneticPr fontId="8" type="noConversion"/>
  <pageMargins left="0.23622047244094491" right="0.23622047244094491" top="0.39370078740157483" bottom="0.74803149606299213" header="0.31496062992125984" footer="0.31496062992125984"/>
  <pageSetup paperSize="9" scale="95" fitToHeight="0" orientation="portrait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0">
    <pageSetUpPr fitToPage="1"/>
  </sheetPr>
  <dimension ref="A1:G28"/>
  <sheetViews>
    <sheetView showGridLines="0" zoomScale="115" zoomScaleNormal="115" zoomScaleSheetLayoutView="110" workbookViewId="0">
      <pane ySplit="4" topLeftCell="A5" activePane="bottomLeft" state="frozen"/>
      <selection activeCell="F20" sqref="F20"/>
      <selection pane="bottomLeft" activeCell="F20" sqref="F20"/>
    </sheetView>
  </sheetViews>
  <sheetFormatPr defaultRowHeight="12.5" x14ac:dyDescent="0.25"/>
  <cols>
    <col min="1" max="1" width="4.54296875" style="16" customWidth="1"/>
    <col min="2" max="2" width="11.7265625" style="16" customWidth="1"/>
    <col min="3" max="3" width="25.26953125" style="16" customWidth="1"/>
    <col min="4" max="4" width="13.7265625" style="16" customWidth="1"/>
    <col min="5" max="5" width="14.7265625" style="16" customWidth="1"/>
    <col min="6" max="6" width="12" style="16" customWidth="1"/>
    <col min="7" max="7" width="11.7265625" style="16" customWidth="1"/>
    <col min="8" max="256" width="8.7265625" style="16"/>
    <col min="257" max="257" width="4.54296875" style="16" customWidth="1"/>
    <col min="258" max="258" width="11.7265625" style="16" customWidth="1"/>
    <col min="259" max="259" width="25.26953125" style="16" customWidth="1"/>
    <col min="260" max="260" width="13.7265625" style="16" customWidth="1"/>
    <col min="261" max="261" width="14.7265625" style="16" customWidth="1"/>
    <col min="262" max="262" width="12" style="16" customWidth="1"/>
    <col min="263" max="263" width="11.7265625" style="16" customWidth="1"/>
    <col min="264" max="512" width="8.7265625" style="16"/>
    <col min="513" max="513" width="4.54296875" style="16" customWidth="1"/>
    <col min="514" max="514" width="11.7265625" style="16" customWidth="1"/>
    <col min="515" max="515" width="25.26953125" style="16" customWidth="1"/>
    <col min="516" max="516" width="13.7265625" style="16" customWidth="1"/>
    <col min="517" max="517" width="14.7265625" style="16" customWidth="1"/>
    <col min="518" max="518" width="12" style="16" customWidth="1"/>
    <col min="519" max="519" width="11.7265625" style="16" customWidth="1"/>
    <col min="520" max="768" width="8.7265625" style="16"/>
    <col min="769" max="769" width="4.54296875" style="16" customWidth="1"/>
    <col min="770" max="770" width="11.7265625" style="16" customWidth="1"/>
    <col min="771" max="771" width="25.26953125" style="16" customWidth="1"/>
    <col min="772" max="772" width="13.7265625" style="16" customWidth="1"/>
    <col min="773" max="773" width="14.7265625" style="16" customWidth="1"/>
    <col min="774" max="774" width="12" style="16" customWidth="1"/>
    <col min="775" max="775" width="11.7265625" style="16" customWidth="1"/>
    <col min="776" max="1024" width="8.7265625" style="16"/>
    <col min="1025" max="1025" width="4.54296875" style="16" customWidth="1"/>
    <col min="1026" max="1026" width="11.7265625" style="16" customWidth="1"/>
    <col min="1027" max="1027" width="25.26953125" style="16" customWidth="1"/>
    <col min="1028" max="1028" width="13.7265625" style="16" customWidth="1"/>
    <col min="1029" max="1029" width="14.7265625" style="16" customWidth="1"/>
    <col min="1030" max="1030" width="12" style="16" customWidth="1"/>
    <col min="1031" max="1031" width="11.7265625" style="16" customWidth="1"/>
    <col min="1032" max="1280" width="8.7265625" style="16"/>
    <col min="1281" max="1281" width="4.54296875" style="16" customWidth="1"/>
    <col min="1282" max="1282" width="11.7265625" style="16" customWidth="1"/>
    <col min="1283" max="1283" width="25.26953125" style="16" customWidth="1"/>
    <col min="1284" max="1284" width="13.7265625" style="16" customWidth="1"/>
    <col min="1285" max="1285" width="14.7265625" style="16" customWidth="1"/>
    <col min="1286" max="1286" width="12" style="16" customWidth="1"/>
    <col min="1287" max="1287" width="11.7265625" style="16" customWidth="1"/>
    <col min="1288" max="1536" width="8.7265625" style="16"/>
    <col min="1537" max="1537" width="4.54296875" style="16" customWidth="1"/>
    <col min="1538" max="1538" width="11.7265625" style="16" customWidth="1"/>
    <col min="1539" max="1539" width="25.26953125" style="16" customWidth="1"/>
    <col min="1540" max="1540" width="13.7265625" style="16" customWidth="1"/>
    <col min="1541" max="1541" width="14.7265625" style="16" customWidth="1"/>
    <col min="1542" max="1542" width="12" style="16" customWidth="1"/>
    <col min="1543" max="1543" width="11.7265625" style="16" customWidth="1"/>
    <col min="1544" max="1792" width="8.7265625" style="16"/>
    <col min="1793" max="1793" width="4.54296875" style="16" customWidth="1"/>
    <col min="1794" max="1794" width="11.7265625" style="16" customWidth="1"/>
    <col min="1795" max="1795" width="25.26953125" style="16" customWidth="1"/>
    <col min="1796" max="1796" width="13.7265625" style="16" customWidth="1"/>
    <col min="1797" max="1797" width="14.7265625" style="16" customWidth="1"/>
    <col min="1798" max="1798" width="12" style="16" customWidth="1"/>
    <col min="1799" max="1799" width="11.7265625" style="16" customWidth="1"/>
    <col min="1800" max="2048" width="8.7265625" style="16"/>
    <col min="2049" max="2049" width="4.54296875" style="16" customWidth="1"/>
    <col min="2050" max="2050" width="11.7265625" style="16" customWidth="1"/>
    <col min="2051" max="2051" width="25.26953125" style="16" customWidth="1"/>
    <col min="2052" max="2052" width="13.7265625" style="16" customWidth="1"/>
    <col min="2053" max="2053" width="14.7265625" style="16" customWidth="1"/>
    <col min="2054" max="2054" width="12" style="16" customWidth="1"/>
    <col min="2055" max="2055" width="11.7265625" style="16" customWidth="1"/>
    <col min="2056" max="2304" width="8.7265625" style="16"/>
    <col min="2305" max="2305" width="4.54296875" style="16" customWidth="1"/>
    <col min="2306" max="2306" width="11.7265625" style="16" customWidth="1"/>
    <col min="2307" max="2307" width="25.26953125" style="16" customWidth="1"/>
    <col min="2308" max="2308" width="13.7265625" style="16" customWidth="1"/>
    <col min="2309" max="2309" width="14.7265625" style="16" customWidth="1"/>
    <col min="2310" max="2310" width="12" style="16" customWidth="1"/>
    <col min="2311" max="2311" width="11.7265625" style="16" customWidth="1"/>
    <col min="2312" max="2560" width="8.7265625" style="16"/>
    <col min="2561" max="2561" width="4.54296875" style="16" customWidth="1"/>
    <col min="2562" max="2562" width="11.7265625" style="16" customWidth="1"/>
    <col min="2563" max="2563" width="25.26953125" style="16" customWidth="1"/>
    <col min="2564" max="2564" width="13.7265625" style="16" customWidth="1"/>
    <col min="2565" max="2565" width="14.7265625" style="16" customWidth="1"/>
    <col min="2566" max="2566" width="12" style="16" customWidth="1"/>
    <col min="2567" max="2567" width="11.7265625" style="16" customWidth="1"/>
    <col min="2568" max="2816" width="8.7265625" style="16"/>
    <col min="2817" max="2817" width="4.54296875" style="16" customWidth="1"/>
    <col min="2818" max="2818" width="11.7265625" style="16" customWidth="1"/>
    <col min="2819" max="2819" width="25.26953125" style="16" customWidth="1"/>
    <col min="2820" max="2820" width="13.7265625" style="16" customWidth="1"/>
    <col min="2821" max="2821" width="14.7265625" style="16" customWidth="1"/>
    <col min="2822" max="2822" width="12" style="16" customWidth="1"/>
    <col min="2823" max="2823" width="11.7265625" style="16" customWidth="1"/>
    <col min="2824" max="3072" width="8.7265625" style="16"/>
    <col min="3073" max="3073" width="4.54296875" style="16" customWidth="1"/>
    <col min="3074" max="3074" width="11.7265625" style="16" customWidth="1"/>
    <col min="3075" max="3075" width="25.26953125" style="16" customWidth="1"/>
    <col min="3076" max="3076" width="13.7265625" style="16" customWidth="1"/>
    <col min="3077" max="3077" width="14.7265625" style="16" customWidth="1"/>
    <col min="3078" max="3078" width="12" style="16" customWidth="1"/>
    <col min="3079" max="3079" width="11.7265625" style="16" customWidth="1"/>
    <col min="3080" max="3328" width="8.7265625" style="16"/>
    <col min="3329" max="3329" width="4.54296875" style="16" customWidth="1"/>
    <col min="3330" max="3330" width="11.7265625" style="16" customWidth="1"/>
    <col min="3331" max="3331" width="25.26953125" style="16" customWidth="1"/>
    <col min="3332" max="3332" width="13.7265625" style="16" customWidth="1"/>
    <col min="3333" max="3333" width="14.7265625" style="16" customWidth="1"/>
    <col min="3334" max="3334" width="12" style="16" customWidth="1"/>
    <col min="3335" max="3335" width="11.7265625" style="16" customWidth="1"/>
    <col min="3336" max="3584" width="8.7265625" style="16"/>
    <col min="3585" max="3585" width="4.54296875" style="16" customWidth="1"/>
    <col min="3586" max="3586" width="11.7265625" style="16" customWidth="1"/>
    <col min="3587" max="3587" width="25.26953125" style="16" customWidth="1"/>
    <col min="3588" max="3588" width="13.7265625" style="16" customWidth="1"/>
    <col min="3589" max="3589" width="14.7265625" style="16" customWidth="1"/>
    <col min="3590" max="3590" width="12" style="16" customWidth="1"/>
    <col min="3591" max="3591" width="11.7265625" style="16" customWidth="1"/>
    <col min="3592" max="3840" width="8.7265625" style="16"/>
    <col min="3841" max="3841" width="4.54296875" style="16" customWidth="1"/>
    <col min="3842" max="3842" width="11.7265625" style="16" customWidth="1"/>
    <col min="3843" max="3843" width="25.26953125" style="16" customWidth="1"/>
    <col min="3844" max="3844" width="13.7265625" style="16" customWidth="1"/>
    <col min="3845" max="3845" width="14.7265625" style="16" customWidth="1"/>
    <col min="3846" max="3846" width="12" style="16" customWidth="1"/>
    <col min="3847" max="3847" width="11.7265625" style="16" customWidth="1"/>
    <col min="3848" max="4096" width="8.7265625" style="16"/>
    <col min="4097" max="4097" width="4.54296875" style="16" customWidth="1"/>
    <col min="4098" max="4098" width="11.7265625" style="16" customWidth="1"/>
    <col min="4099" max="4099" width="25.26953125" style="16" customWidth="1"/>
    <col min="4100" max="4100" width="13.7265625" style="16" customWidth="1"/>
    <col min="4101" max="4101" width="14.7265625" style="16" customWidth="1"/>
    <col min="4102" max="4102" width="12" style="16" customWidth="1"/>
    <col min="4103" max="4103" width="11.7265625" style="16" customWidth="1"/>
    <col min="4104" max="4352" width="8.7265625" style="16"/>
    <col min="4353" max="4353" width="4.54296875" style="16" customWidth="1"/>
    <col min="4354" max="4354" width="11.7265625" style="16" customWidth="1"/>
    <col min="4355" max="4355" width="25.26953125" style="16" customWidth="1"/>
    <col min="4356" max="4356" width="13.7265625" style="16" customWidth="1"/>
    <col min="4357" max="4357" width="14.7265625" style="16" customWidth="1"/>
    <col min="4358" max="4358" width="12" style="16" customWidth="1"/>
    <col min="4359" max="4359" width="11.7265625" style="16" customWidth="1"/>
    <col min="4360" max="4608" width="8.7265625" style="16"/>
    <col min="4609" max="4609" width="4.54296875" style="16" customWidth="1"/>
    <col min="4610" max="4610" width="11.7265625" style="16" customWidth="1"/>
    <col min="4611" max="4611" width="25.26953125" style="16" customWidth="1"/>
    <col min="4612" max="4612" width="13.7265625" style="16" customWidth="1"/>
    <col min="4613" max="4613" width="14.7265625" style="16" customWidth="1"/>
    <col min="4614" max="4614" width="12" style="16" customWidth="1"/>
    <col min="4615" max="4615" width="11.7265625" style="16" customWidth="1"/>
    <col min="4616" max="4864" width="8.7265625" style="16"/>
    <col min="4865" max="4865" width="4.54296875" style="16" customWidth="1"/>
    <col min="4866" max="4866" width="11.7265625" style="16" customWidth="1"/>
    <col min="4867" max="4867" width="25.26953125" style="16" customWidth="1"/>
    <col min="4868" max="4868" width="13.7265625" style="16" customWidth="1"/>
    <col min="4869" max="4869" width="14.7265625" style="16" customWidth="1"/>
    <col min="4870" max="4870" width="12" style="16" customWidth="1"/>
    <col min="4871" max="4871" width="11.7265625" style="16" customWidth="1"/>
    <col min="4872" max="5120" width="8.7265625" style="16"/>
    <col min="5121" max="5121" width="4.54296875" style="16" customWidth="1"/>
    <col min="5122" max="5122" width="11.7265625" style="16" customWidth="1"/>
    <col min="5123" max="5123" width="25.26953125" style="16" customWidth="1"/>
    <col min="5124" max="5124" width="13.7265625" style="16" customWidth="1"/>
    <col min="5125" max="5125" width="14.7265625" style="16" customWidth="1"/>
    <col min="5126" max="5126" width="12" style="16" customWidth="1"/>
    <col min="5127" max="5127" width="11.7265625" style="16" customWidth="1"/>
    <col min="5128" max="5376" width="8.7265625" style="16"/>
    <col min="5377" max="5377" width="4.54296875" style="16" customWidth="1"/>
    <col min="5378" max="5378" width="11.7265625" style="16" customWidth="1"/>
    <col min="5379" max="5379" width="25.26953125" style="16" customWidth="1"/>
    <col min="5380" max="5380" width="13.7265625" style="16" customWidth="1"/>
    <col min="5381" max="5381" width="14.7265625" style="16" customWidth="1"/>
    <col min="5382" max="5382" width="12" style="16" customWidth="1"/>
    <col min="5383" max="5383" width="11.7265625" style="16" customWidth="1"/>
    <col min="5384" max="5632" width="8.7265625" style="16"/>
    <col min="5633" max="5633" width="4.54296875" style="16" customWidth="1"/>
    <col min="5634" max="5634" width="11.7265625" style="16" customWidth="1"/>
    <col min="5635" max="5635" width="25.26953125" style="16" customWidth="1"/>
    <col min="5636" max="5636" width="13.7265625" style="16" customWidth="1"/>
    <col min="5637" max="5637" width="14.7265625" style="16" customWidth="1"/>
    <col min="5638" max="5638" width="12" style="16" customWidth="1"/>
    <col min="5639" max="5639" width="11.7265625" style="16" customWidth="1"/>
    <col min="5640" max="5888" width="8.7265625" style="16"/>
    <col min="5889" max="5889" width="4.54296875" style="16" customWidth="1"/>
    <col min="5890" max="5890" width="11.7265625" style="16" customWidth="1"/>
    <col min="5891" max="5891" width="25.26953125" style="16" customWidth="1"/>
    <col min="5892" max="5892" width="13.7265625" style="16" customWidth="1"/>
    <col min="5893" max="5893" width="14.7265625" style="16" customWidth="1"/>
    <col min="5894" max="5894" width="12" style="16" customWidth="1"/>
    <col min="5895" max="5895" width="11.7265625" style="16" customWidth="1"/>
    <col min="5896" max="6144" width="8.7265625" style="16"/>
    <col min="6145" max="6145" width="4.54296875" style="16" customWidth="1"/>
    <col min="6146" max="6146" width="11.7265625" style="16" customWidth="1"/>
    <col min="6147" max="6147" width="25.26953125" style="16" customWidth="1"/>
    <col min="6148" max="6148" width="13.7265625" style="16" customWidth="1"/>
    <col min="6149" max="6149" width="14.7265625" style="16" customWidth="1"/>
    <col min="6150" max="6150" width="12" style="16" customWidth="1"/>
    <col min="6151" max="6151" width="11.7265625" style="16" customWidth="1"/>
    <col min="6152" max="6400" width="8.7265625" style="16"/>
    <col min="6401" max="6401" width="4.54296875" style="16" customWidth="1"/>
    <col min="6402" max="6402" width="11.7265625" style="16" customWidth="1"/>
    <col min="6403" max="6403" width="25.26953125" style="16" customWidth="1"/>
    <col min="6404" max="6404" width="13.7265625" style="16" customWidth="1"/>
    <col min="6405" max="6405" width="14.7265625" style="16" customWidth="1"/>
    <col min="6406" max="6406" width="12" style="16" customWidth="1"/>
    <col min="6407" max="6407" width="11.7265625" style="16" customWidth="1"/>
    <col min="6408" max="6656" width="8.7265625" style="16"/>
    <col min="6657" max="6657" width="4.54296875" style="16" customWidth="1"/>
    <col min="6658" max="6658" width="11.7265625" style="16" customWidth="1"/>
    <col min="6659" max="6659" width="25.26953125" style="16" customWidth="1"/>
    <col min="6660" max="6660" width="13.7265625" style="16" customWidth="1"/>
    <col min="6661" max="6661" width="14.7265625" style="16" customWidth="1"/>
    <col min="6662" max="6662" width="12" style="16" customWidth="1"/>
    <col min="6663" max="6663" width="11.7265625" style="16" customWidth="1"/>
    <col min="6664" max="6912" width="8.7265625" style="16"/>
    <col min="6913" max="6913" width="4.54296875" style="16" customWidth="1"/>
    <col min="6914" max="6914" width="11.7265625" style="16" customWidth="1"/>
    <col min="6915" max="6915" width="25.26953125" style="16" customWidth="1"/>
    <col min="6916" max="6916" width="13.7265625" style="16" customWidth="1"/>
    <col min="6917" max="6917" width="14.7265625" style="16" customWidth="1"/>
    <col min="6918" max="6918" width="12" style="16" customWidth="1"/>
    <col min="6919" max="6919" width="11.7265625" style="16" customWidth="1"/>
    <col min="6920" max="7168" width="8.7265625" style="16"/>
    <col min="7169" max="7169" width="4.54296875" style="16" customWidth="1"/>
    <col min="7170" max="7170" width="11.7265625" style="16" customWidth="1"/>
    <col min="7171" max="7171" width="25.26953125" style="16" customWidth="1"/>
    <col min="7172" max="7172" width="13.7265625" style="16" customWidth="1"/>
    <col min="7173" max="7173" width="14.7265625" style="16" customWidth="1"/>
    <col min="7174" max="7174" width="12" style="16" customWidth="1"/>
    <col min="7175" max="7175" width="11.7265625" style="16" customWidth="1"/>
    <col min="7176" max="7424" width="8.7265625" style="16"/>
    <col min="7425" max="7425" width="4.54296875" style="16" customWidth="1"/>
    <col min="7426" max="7426" width="11.7265625" style="16" customWidth="1"/>
    <col min="7427" max="7427" width="25.26953125" style="16" customWidth="1"/>
    <col min="7428" max="7428" width="13.7265625" style="16" customWidth="1"/>
    <col min="7429" max="7429" width="14.7265625" style="16" customWidth="1"/>
    <col min="7430" max="7430" width="12" style="16" customWidth="1"/>
    <col min="7431" max="7431" width="11.7265625" style="16" customWidth="1"/>
    <col min="7432" max="7680" width="8.7265625" style="16"/>
    <col min="7681" max="7681" width="4.54296875" style="16" customWidth="1"/>
    <col min="7682" max="7682" width="11.7265625" style="16" customWidth="1"/>
    <col min="7683" max="7683" width="25.26953125" style="16" customWidth="1"/>
    <col min="7684" max="7684" width="13.7265625" style="16" customWidth="1"/>
    <col min="7685" max="7685" width="14.7265625" style="16" customWidth="1"/>
    <col min="7686" max="7686" width="12" style="16" customWidth="1"/>
    <col min="7687" max="7687" width="11.7265625" style="16" customWidth="1"/>
    <col min="7688" max="7936" width="8.7265625" style="16"/>
    <col min="7937" max="7937" width="4.54296875" style="16" customWidth="1"/>
    <col min="7938" max="7938" width="11.7265625" style="16" customWidth="1"/>
    <col min="7939" max="7939" width="25.26953125" style="16" customWidth="1"/>
    <col min="7940" max="7940" width="13.7265625" style="16" customWidth="1"/>
    <col min="7941" max="7941" width="14.7265625" style="16" customWidth="1"/>
    <col min="7942" max="7942" width="12" style="16" customWidth="1"/>
    <col min="7943" max="7943" width="11.7265625" style="16" customWidth="1"/>
    <col min="7944" max="8192" width="8.7265625" style="16"/>
    <col min="8193" max="8193" width="4.54296875" style="16" customWidth="1"/>
    <col min="8194" max="8194" width="11.7265625" style="16" customWidth="1"/>
    <col min="8195" max="8195" width="25.26953125" style="16" customWidth="1"/>
    <col min="8196" max="8196" width="13.7265625" style="16" customWidth="1"/>
    <col min="8197" max="8197" width="14.7265625" style="16" customWidth="1"/>
    <col min="8198" max="8198" width="12" style="16" customWidth="1"/>
    <col min="8199" max="8199" width="11.7265625" style="16" customWidth="1"/>
    <col min="8200" max="8448" width="8.7265625" style="16"/>
    <col min="8449" max="8449" width="4.54296875" style="16" customWidth="1"/>
    <col min="8450" max="8450" width="11.7265625" style="16" customWidth="1"/>
    <col min="8451" max="8451" width="25.26953125" style="16" customWidth="1"/>
    <col min="8452" max="8452" width="13.7265625" style="16" customWidth="1"/>
    <col min="8453" max="8453" width="14.7265625" style="16" customWidth="1"/>
    <col min="8454" max="8454" width="12" style="16" customWidth="1"/>
    <col min="8455" max="8455" width="11.7265625" style="16" customWidth="1"/>
    <col min="8456" max="8704" width="8.7265625" style="16"/>
    <col min="8705" max="8705" width="4.54296875" style="16" customWidth="1"/>
    <col min="8706" max="8706" width="11.7265625" style="16" customWidth="1"/>
    <col min="8707" max="8707" width="25.26953125" style="16" customWidth="1"/>
    <col min="8708" max="8708" width="13.7265625" style="16" customWidth="1"/>
    <col min="8709" max="8709" width="14.7265625" style="16" customWidth="1"/>
    <col min="8710" max="8710" width="12" style="16" customWidth="1"/>
    <col min="8711" max="8711" width="11.7265625" style="16" customWidth="1"/>
    <col min="8712" max="8960" width="8.7265625" style="16"/>
    <col min="8961" max="8961" width="4.54296875" style="16" customWidth="1"/>
    <col min="8962" max="8962" width="11.7265625" style="16" customWidth="1"/>
    <col min="8963" max="8963" width="25.26953125" style="16" customWidth="1"/>
    <col min="8964" max="8964" width="13.7265625" style="16" customWidth="1"/>
    <col min="8965" max="8965" width="14.7265625" style="16" customWidth="1"/>
    <col min="8966" max="8966" width="12" style="16" customWidth="1"/>
    <col min="8967" max="8967" width="11.7265625" style="16" customWidth="1"/>
    <col min="8968" max="9216" width="8.7265625" style="16"/>
    <col min="9217" max="9217" width="4.54296875" style="16" customWidth="1"/>
    <col min="9218" max="9218" width="11.7265625" style="16" customWidth="1"/>
    <col min="9219" max="9219" width="25.26953125" style="16" customWidth="1"/>
    <col min="9220" max="9220" width="13.7265625" style="16" customWidth="1"/>
    <col min="9221" max="9221" width="14.7265625" style="16" customWidth="1"/>
    <col min="9222" max="9222" width="12" style="16" customWidth="1"/>
    <col min="9223" max="9223" width="11.7265625" style="16" customWidth="1"/>
    <col min="9224" max="9472" width="8.7265625" style="16"/>
    <col min="9473" max="9473" width="4.54296875" style="16" customWidth="1"/>
    <col min="9474" max="9474" width="11.7265625" style="16" customWidth="1"/>
    <col min="9475" max="9475" width="25.26953125" style="16" customWidth="1"/>
    <col min="9476" max="9476" width="13.7265625" style="16" customWidth="1"/>
    <col min="9477" max="9477" width="14.7265625" style="16" customWidth="1"/>
    <col min="9478" max="9478" width="12" style="16" customWidth="1"/>
    <col min="9479" max="9479" width="11.7265625" style="16" customWidth="1"/>
    <col min="9480" max="9728" width="8.7265625" style="16"/>
    <col min="9729" max="9729" width="4.54296875" style="16" customWidth="1"/>
    <col min="9730" max="9730" width="11.7265625" style="16" customWidth="1"/>
    <col min="9731" max="9731" width="25.26953125" style="16" customWidth="1"/>
    <col min="9732" max="9732" width="13.7265625" style="16" customWidth="1"/>
    <col min="9733" max="9733" width="14.7265625" style="16" customWidth="1"/>
    <col min="9734" max="9734" width="12" style="16" customWidth="1"/>
    <col min="9735" max="9735" width="11.7265625" style="16" customWidth="1"/>
    <col min="9736" max="9984" width="8.7265625" style="16"/>
    <col min="9985" max="9985" width="4.54296875" style="16" customWidth="1"/>
    <col min="9986" max="9986" width="11.7265625" style="16" customWidth="1"/>
    <col min="9987" max="9987" width="25.26953125" style="16" customWidth="1"/>
    <col min="9988" max="9988" width="13.7265625" style="16" customWidth="1"/>
    <col min="9989" max="9989" width="14.7265625" style="16" customWidth="1"/>
    <col min="9990" max="9990" width="12" style="16" customWidth="1"/>
    <col min="9991" max="9991" width="11.7265625" style="16" customWidth="1"/>
    <col min="9992" max="10240" width="8.7265625" style="16"/>
    <col min="10241" max="10241" width="4.54296875" style="16" customWidth="1"/>
    <col min="10242" max="10242" width="11.7265625" style="16" customWidth="1"/>
    <col min="10243" max="10243" width="25.26953125" style="16" customWidth="1"/>
    <col min="10244" max="10244" width="13.7265625" style="16" customWidth="1"/>
    <col min="10245" max="10245" width="14.7265625" style="16" customWidth="1"/>
    <col min="10246" max="10246" width="12" style="16" customWidth="1"/>
    <col min="10247" max="10247" width="11.7265625" style="16" customWidth="1"/>
    <col min="10248" max="10496" width="8.7265625" style="16"/>
    <col min="10497" max="10497" width="4.54296875" style="16" customWidth="1"/>
    <col min="10498" max="10498" width="11.7265625" style="16" customWidth="1"/>
    <col min="10499" max="10499" width="25.26953125" style="16" customWidth="1"/>
    <col min="10500" max="10500" width="13.7265625" style="16" customWidth="1"/>
    <col min="10501" max="10501" width="14.7265625" style="16" customWidth="1"/>
    <col min="10502" max="10502" width="12" style="16" customWidth="1"/>
    <col min="10503" max="10503" width="11.7265625" style="16" customWidth="1"/>
    <col min="10504" max="10752" width="8.7265625" style="16"/>
    <col min="10753" max="10753" width="4.54296875" style="16" customWidth="1"/>
    <col min="10754" max="10754" width="11.7265625" style="16" customWidth="1"/>
    <col min="10755" max="10755" width="25.26953125" style="16" customWidth="1"/>
    <col min="10756" max="10756" width="13.7265625" style="16" customWidth="1"/>
    <col min="10757" max="10757" width="14.7265625" style="16" customWidth="1"/>
    <col min="10758" max="10758" width="12" style="16" customWidth="1"/>
    <col min="10759" max="10759" width="11.7265625" style="16" customWidth="1"/>
    <col min="10760" max="11008" width="8.7265625" style="16"/>
    <col min="11009" max="11009" width="4.54296875" style="16" customWidth="1"/>
    <col min="11010" max="11010" width="11.7265625" style="16" customWidth="1"/>
    <col min="11011" max="11011" width="25.26953125" style="16" customWidth="1"/>
    <col min="11012" max="11012" width="13.7265625" style="16" customWidth="1"/>
    <col min="11013" max="11013" width="14.7265625" style="16" customWidth="1"/>
    <col min="11014" max="11014" width="12" style="16" customWidth="1"/>
    <col min="11015" max="11015" width="11.7265625" style="16" customWidth="1"/>
    <col min="11016" max="11264" width="8.7265625" style="16"/>
    <col min="11265" max="11265" width="4.54296875" style="16" customWidth="1"/>
    <col min="11266" max="11266" width="11.7265625" style="16" customWidth="1"/>
    <col min="11267" max="11267" width="25.26953125" style="16" customWidth="1"/>
    <col min="11268" max="11268" width="13.7265625" style="16" customWidth="1"/>
    <col min="11269" max="11269" width="14.7265625" style="16" customWidth="1"/>
    <col min="11270" max="11270" width="12" style="16" customWidth="1"/>
    <col min="11271" max="11271" width="11.7265625" style="16" customWidth="1"/>
    <col min="11272" max="11520" width="8.7265625" style="16"/>
    <col min="11521" max="11521" width="4.54296875" style="16" customWidth="1"/>
    <col min="11522" max="11522" width="11.7265625" style="16" customWidth="1"/>
    <col min="11523" max="11523" width="25.26953125" style="16" customWidth="1"/>
    <col min="11524" max="11524" width="13.7265625" style="16" customWidth="1"/>
    <col min="11525" max="11525" width="14.7265625" style="16" customWidth="1"/>
    <col min="11526" max="11526" width="12" style="16" customWidth="1"/>
    <col min="11527" max="11527" width="11.7265625" style="16" customWidth="1"/>
    <col min="11528" max="11776" width="8.7265625" style="16"/>
    <col min="11777" max="11777" width="4.54296875" style="16" customWidth="1"/>
    <col min="11778" max="11778" width="11.7265625" style="16" customWidth="1"/>
    <col min="11779" max="11779" width="25.26953125" style="16" customWidth="1"/>
    <col min="11780" max="11780" width="13.7265625" style="16" customWidth="1"/>
    <col min="11781" max="11781" width="14.7265625" style="16" customWidth="1"/>
    <col min="11782" max="11782" width="12" style="16" customWidth="1"/>
    <col min="11783" max="11783" width="11.7265625" style="16" customWidth="1"/>
    <col min="11784" max="12032" width="8.7265625" style="16"/>
    <col min="12033" max="12033" width="4.54296875" style="16" customWidth="1"/>
    <col min="12034" max="12034" width="11.7265625" style="16" customWidth="1"/>
    <col min="12035" max="12035" width="25.26953125" style="16" customWidth="1"/>
    <col min="12036" max="12036" width="13.7265625" style="16" customWidth="1"/>
    <col min="12037" max="12037" width="14.7265625" style="16" customWidth="1"/>
    <col min="12038" max="12038" width="12" style="16" customWidth="1"/>
    <col min="12039" max="12039" width="11.7265625" style="16" customWidth="1"/>
    <col min="12040" max="12288" width="8.7265625" style="16"/>
    <col min="12289" max="12289" width="4.54296875" style="16" customWidth="1"/>
    <col min="12290" max="12290" width="11.7265625" style="16" customWidth="1"/>
    <col min="12291" max="12291" width="25.26953125" style="16" customWidth="1"/>
    <col min="12292" max="12292" width="13.7265625" style="16" customWidth="1"/>
    <col min="12293" max="12293" width="14.7265625" style="16" customWidth="1"/>
    <col min="12294" max="12294" width="12" style="16" customWidth="1"/>
    <col min="12295" max="12295" width="11.7265625" style="16" customWidth="1"/>
    <col min="12296" max="12544" width="8.7265625" style="16"/>
    <col min="12545" max="12545" width="4.54296875" style="16" customWidth="1"/>
    <col min="12546" max="12546" width="11.7265625" style="16" customWidth="1"/>
    <col min="12547" max="12547" width="25.26953125" style="16" customWidth="1"/>
    <col min="12548" max="12548" width="13.7265625" style="16" customWidth="1"/>
    <col min="12549" max="12549" width="14.7265625" style="16" customWidth="1"/>
    <col min="12550" max="12550" width="12" style="16" customWidth="1"/>
    <col min="12551" max="12551" width="11.7265625" style="16" customWidth="1"/>
    <col min="12552" max="12800" width="8.7265625" style="16"/>
    <col min="12801" max="12801" width="4.54296875" style="16" customWidth="1"/>
    <col min="12802" max="12802" width="11.7265625" style="16" customWidth="1"/>
    <col min="12803" max="12803" width="25.26953125" style="16" customWidth="1"/>
    <col min="12804" max="12804" width="13.7265625" style="16" customWidth="1"/>
    <col min="12805" max="12805" width="14.7265625" style="16" customWidth="1"/>
    <col min="12806" max="12806" width="12" style="16" customWidth="1"/>
    <col min="12807" max="12807" width="11.7265625" style="16" customWidth="1"/>
    <col min="12808" max="13056" width="8.7265625" style="16"/>
    <col min="13057" max="13057" width="4.54296875" style="16" customWidth="1"/>
    <col min="13058" max="13058" width="11.7265625" style="16" customWidth="1"/>
    <col min="13059" max="13059" width="25.26953125" style="16" customWidth="1"/>
    <col min="13060" max="13060" width="13.7265625" style="16" customWidth="1"/>
    <col min="13061" max="13061" width="14.7265625" style="16" customWidth="1"/>
    <col min="13062" max="13062" width="12" style="16" customWidth="1"/>
    <col min="13063" max="13063" width="11.7265625" style="16" customWidth="1"/>
    <col min="13064" max="13312" width="8.7265625" style="16"/>
    <col min="13313" max="13313" width="4.54296875" style="16" customWidth="1"/>
    <col min="13314" max="13314" width="11.7265625" style="16" customWidth="1"/>
    <col min="13315" max="13315" width="25.26953125" style="16" customWidth="1"/>
    <col min="13316" max="13316" width="13.7265625" style="16" customWidth="1"/>
    <col min="13317" max="13317" width="14.7265625" style="16" customWidth="1"/>
    <col min="13318" max="13318" width="12" style="16" customWidth="1"/>
    <col min="13319" max="13319" width="11.7265625" style="16" customWidth="1"/>
    <col min="13320" max="13568" width="8.7265625" style="16"/>
    <col min="13569" max="13569" width="4.54296875" style="16" customWidth="1"/>
    <col min="13570" max="13570" width="11.7265625" style="16" customWidth="1"/>
    <col min="13571" max="13571" width="25.26953125" style="16" customWidth="1"/>
    <col min="13572" max="13572" width="13.7265625" style="16" customWidth="1"/>
    <col min="13573" max="13573" width="14.7265625" style="16" customWidth="1"/>
    <col min="13574" max="13574" width="12" style="16" customWidth="1"/>
    <col min="13575" max="13575" width="11.7265625" style="16" customWidth="1"/>
    <col min="13576" max="13824" width="8.7265625" style="16"/>
    <col min="13825" max="13825" width="4.54296875" style="16" customWidth="1"/>
    <col min="13826" max="13826" width="11.7265625" style="16" customWidth="1"/>
    <col min="13827" max="13827" width="25.26953125" style="16" customWidth="1"/>
    <col min="13828" max="13828" width="13.7265625" style="16" customWidth="1"/>
    <col min="13829" max="13829" width="14.7265625" style="16" customWidth="1"/>
    <col min="13830" max="13830" width="12" style="16" customWidth="1"/>
    <col min="13831" max="13831" width="11.7265625" style="16" customWidth="1"/>
    <col min="13832" max="14080" width="8.7265625" style="16"/>
    <col min="14081" max="14081" width="4.54296875" style="16" customWidth="1"/>
    <col min="14082" max="14082" width="11.7265625" style="16" customWidth="1"/>
    <col min="14083" max="14083" width="25.26953125" style="16" customWidth="1"/>
    <col min="14084" max="14084" width="13.7265625" style="16" customWidth="1"/>
    <col min="14085" max="14085" width="14.7265625" style="16" customWidth="1"/>
    <col min="14086" max="14086" width="12" style="16" customWidth="1"/>
    <col min="14087" max="14087" width="11.7265625" style="16" customWidth="1"/>
    <col min="14088" max="14336" width="8.7265625" style="16"/>
    <col min="14337" max="14337" width="4.54296875" style="16" customWidth="1"/>
    <col min="14338" max="14338" width="11.7265625" style="16" customWidth="1"/>
    <col min="14339" max="14339" width="25.26953125" style="16" customWidth="1"/>
    <col min="14340" max="14340" width="13.7265625" style="16" customWidth="1"/>
    <col min="14341" max="14341" width="14.7265625" style="16" customWidth="1"/>
    <col min="14342" max="14342" width="12" style="16" customWidth="1"/>
    <col min="14343" max="14343" width="11.7265625" style="16" customWidth="1"/>
    <col min="14344" max="14592" width="8.7265625" style="16"/>
    <col min="14593" max="14593" width="4.54296875" style="16" customWidth="1"/>
    <col min="14594" max="14594" width="11.7265625" style="16" customWidth="1"/>
    <col min="14595" max="14595" width="25.26953125" style="16" customWidth="1"/>
    <col min="14596" max="14596" width="13.7265625" style="16" customWidth="1"/>
    <col min="14597" max="14597" width="14.7265625" style="16" customWidth="1"/>
    <col min="14598" max="14598" width="12" style="16" customWidth="1"/>
    <col min="14599" max="14599" width="11.7265625" style="16" customWidth="1"/>
    <col min="14600" max="14848" width="8.7265625" style="16"/>
    <col min="14849" max="14849" width="4.54296875" style="16" customWidth="1"/>
    <col min="14850" max="14850" width="11.7265625" style="16" customWidth="1"/>
    <col min="14851" max="14851" width="25.26953125" style="16" customWidth="1"/>
    <col min="14852" max="14852" width="13.7265625" style="16" customWidth="1"/>
    <col min="14853" max="14853" width="14.7265625" style="16" customWidth="1"/>
    <col min="14854" max="14854" width="12" style="16" customWidth="1"/>
    <col min="14855" max="14855" width="11.7265625" style="16" customWidth="1"/>
    <col min="14856" max="15104" width="8.7265625" style="16"/>
    <col min="15105" max="15105" width="4.54296875" style="16" customWidth="1"/>
    <col min="15106" max="15106" width="11.7265625" style="16" customWidth="1"/>
    <col min="15107" max="15107" width="25.26953125" style="16" customWidth="1"/>
    <col min="15108" max="15108" width="13.7265625" style="16" customWidth="1"/>
    <col min="15109" max="15109" width="14.7265625" style="16" customWidth="1"/>
    <col min="15110" max="15110" width="12" style="16" customWidth="1"/>
    <col min="15111" max="15111" width="11.7265625" style="16" customWidth="1"/>
    <col min="15112" max="15360" width="8.7265625" style="16"/>
    <col min="15361" max="15361" width="4.54296875" style="16" customWidth="1"/>
    <col min="15362" max="15362" width="11.7265625" style="16" customWidth="1"/>
    <col min="15363" max="15363" width="25.26953125" style="16" customWidth="1"/>
    <col min="15364" max="15364" width="13.7265625" style="16" customWidth="1"/>
    <col min="15365" max="15365" width="14.7265625" style="16" customWidth="1"/>
    <col min="15366" max="15366" width="12" style="16" customWidth="1"/>
    <col min="15367" max="15367" width="11.7265625" style="16" customWidth="1"/>
    <col min="15368" max="15616" width="8.7265625" style="16"/>
    <col min="15617" max="15617" width="4.54296875" style="16" customWidth="1"/>
    <col min="15618" max="15618" width="11.7265625" style="16" customWidth="1"/>
    <col min="15619" max="15619" width="25.26953125" style="16" customWidth="1"/>
    <col min="15620" max="15620" width="13.7265625" style="16" customWidth="1"/>
    <col min="15621" max="15621" width="14.7265625" style="16" customWidth="1"/>
    <col min="15622" max="15622" width="12" style="16" customWidth="1"/>
    <col min="15623" max="15623" width="11.7265625" style="16" customWidth="1"/>
    <col min="15624" max="15872" width="8.7265625" style="16"/>
    <col min="15873" max="15873" width="4.54296875" style="16" customWidth="1"/>
    <col min="15874" max="15874" width="11.7265625" style="16" customWidth="1"/>
    <col min="15875" max="15875" width="25.26953125" style="16" customWidth="1"/>
    <col min="15876" max="15876" width="13.7265625" style="16" customWidth="1"/>
    <col min="15877" max="15877" width="14.7265625" style="16" customWidth="1"/>
    <col min="15878" max="15878" width="12" style="16" customWidth="1"/>
    <col min="15879" max="15879" width="11.7265625" style="16" customWidth="1"/>
    <col min="15880" max="16128" width="8.7265625" style="16"/>
    <col min="16129" max="16129" width="4.54296875" style="16" customWidth="1"/>
    <col min="16130" max="16130" width="11.7265625" style="16" customWidth="1"/>
    <col min="16131" max="16131" width="25.26953125" style="16" customWidth="1"/>
    <col min="16132" max="16132" width="13.7265625" style="16" customWidth="1"/>
    <col min="16133" max="16133" width="14.7265625" style="16" customWidth="1"/>
    <col min="16134" max="16134" width="12" style="16" customWidth="1"/>
    <col min="16135" max="16135" width="11.7265625" style="16" customWidth="1"/>
    <col min="16136" max="16384" width="8.7265625" style="16"/>
  </cols>
  <sheetData>
    <row r="1" spans="1:7" ht="17.5" x14ac:dyDescent="0.35">
      <c r="A1" s="168" t="s">
        <v>153</v>
      </c>
      <c r="B1" s="168"/>
      <c r="C1" s="168"/>
      <c r="D1" s="168"/>
      <c r="E1" s="168"/>
      <c r="F1" s="168"/>
      <c r="G1" s="168"/>
    </row>
    <row r="2" spans="1:7" ht="35.25" customHeight="1" x14ac:dyDescent="0.25">
      <c r="A2" s="178" t="s">
        <v>154</v>
      </c>
      <c r="B2" s="178"/>
      <c r="C2" s="179"/>
      <c r="D2" s="179"/>
      <c r="E2" s="179"/>
      <c r="F2" s="179"/>
      <c r="G2" s="179"/>
    </row>
    <row r="3" spans="1:7" ht="77.25" customHeight="1" x14ac:dyDescent="0.25">
      <c r="A3" s="65" t="s">
        <v>127</v>
      </c>
      <c r="B3" s="79" t="s">
        <v>155</v>
      </c>
      <c r="C3" s="79" t="s">
        <v>156</v>
      </c>
      <c r="D3" s="79" t="s">
        <v>157</v>
      </c>
      <c r="E3" s="79" t="s">
        <v>158</v>
      </c>
      <c r="F3" s="79" t="s">
        <v>159</v>
      </c>
      <c r="G3" s="79" t="s">
        <v>158</v>
      </c>
    </row>
    <row r="4" spans="1:7" x14ac:dyDescent="0.25">
      <c r="A4" s="80">
        <v>1</v>
      </c>
      <c r="B4" s="80">
        <v>2</v>
      </c>
      <c r="C4" s="80">
        <v>3</v>
      </c>
      <c r="D4" s="80">
        <v>4</v>
      </c>
      <c r="E4" s="80">
        <v>5</v>
      </c>
      <c r="F4" s="80">
        <v>6</v>
      </c>
      <c r="G4" s="80">
        <v>7</v>
      </c>
    </row>
    <row r="5" spans="1:7" ht="27" customHeight="1" x14ac:dyDescent="0.3">
      <c r="A5" s="81"/>
      <c r="B5" s="81"/>
      <c r="C5" s="81"/>
      <c r="D5" s="81"/>
      <c r="E5" s="81"/>
      <c r="F5" s="81"/>
      <c r="G5" s="81"/>
    </row>
    <row r="6" spans="1:7" ht="27" customHeight="1" x14ac:dyDescent="0.3">
      <c r="A6" s="81"/>
      <c r="B6" s="81"/>
      <c r="C6" s="81"/>
      <c r="D6" s="81"/>
      <c r="E6" s="81"/>
      <c r="F6" s="81"/>
      <c r="G6" s="81"/>
    </row>
    <row r="7" spans="1:7" ht="27" customHeight="1" x14ac:dyDescent="0.3">
      <c r="A7" s="81"/>
      <c r="B7" s="81"/>
      <c r="C7" s="81"/>
      <c r="D7" s="81"/>
      <c r="E7" s="81"/>
      <c r="F7" s="81"/>
      <c r="G7" s="81"/>
    </row>
    <row r="8" spans="1:7" ht="27" customHeight="1" x14ac:dyDescent="0.3">
      <c r="A8" s="81"/>
      <c r="B8" s="81"/>
      <c r="C8" s="81"/>
      <c r="D8" s="81"/>
      <c r="E8" s="81"/>
      <c r="F8" s="81"/>
      <c r="G8" s="81"/>
    </row>
    <row r="9" spans="1:7" ht="27" customHeight="1" x14ac:dyDescent="0.3">
      <c r="A9" s="81"/>
      <c r="B9" s="81"/>
      <c r="C9" s="81"/>
      <c r="D9" s="81"/>
      <c r="E9" s="81"/>
      <c r="F9" s="81"/>
      <c r="G9" s="81"/>
    </row>
    <row r="10" spans="1:7" ht="27" customHeight="1" x14ac:dyDescent="0.3">
      <c r="A10" s="81"/>
      <c r="B10" s="81"/>
      <c r="C10" s="81"/>
      <c r="D10" s="81"/>
      <c r="E10" s="81"/>
      <c r="F10" s="81"/>
      <c r="G10" s="81"/>
    </row>
    <row r="11" spans="1:7" ht="27" customHeight="1" x14ac:dyDescent="0.3">
      <c r="A11" s="81"/>
      <c r="B11" s="81"/>
      <c r="C11" s="81"/>
      <c r="D11" s="81"/>
      <c r="E11" s="81"/>
      <c r="F11" s="81"/>
      <c r="G11" s="81"/>
    </row>
    <row r="12" spans="1:7" ht="27" customHeight="1" x14ac:dyDescent="0.3">
      <c r="A12" s="81"/>
      <c r="B12" s="81"/>
      <c r="C12" s="81"/>
      <c r="D12" s="81"/>
      <c r="E12" s="81"/>
      <c r="F12" s="81"/>
      <c r="G12" s="81"/>
    </row>
    <row r="13" spans="1:7" ht="27" customHeight="1" x14ac:dyDescent="0.3">
      <c r="A13" s="81"/>
      <c r="B13" s="81"/>
      <c r="C13" s="81"/>
      <c r="D13" s="81"/>
      <c r="E13" s="81"/>
      <c r="F13" s="81"/>
      <c r="G13" s="81"/>
    </row>
    <row r="14" spans="1:7" ht="27" customHeight="1" x14ac:dyDescent="0.3">
      <c r="A14" s="81"/>
      <c r="B14" s="81"/>
      <c r="C14" s="81"/>
      <c r="D14" s="81"/>
      <c r="E14" s="81"/>
      <c r="F14" s="81"/>
      <c r="G14" s="81"/>
    </row>
    <row r="15" spans="1:7" ht="27" customHeight="1" x14ac:dyDescent="0.3">
      <c r="A15" s="81"/>
      <c r="B15" s="81"/>
      <c r="C15" s="81"/>
      <c r="D15" s="81"/>
      <c r="E15" s="81"/>
      <c r="F15" s="81"/>
      <c r="G15" s="81"/>
    </row>
    <row r="16" spans="1:7" ht="27" customHeight="1" x14ac:dyDescent="0.3">
      <c r="A16" s="81"/>
      <c r="B16" s="81"/>
      <c r="C16" s="81"/>
      <c r="D16" s="81"/>
      <c r="E16" s="81"/>
      <c r="F16" s="81"/>
      <c r="G16" s="81"/>
    </row>
    <row r="17" spans="1:7" ht="27" customHeight="1" x14ac:dyDescent="0.3">
      <c r="A17" s="81"/>
      <c r="B17" s="81"/>
      <c r="C17" s="81"/>
      <c r="D17" s="81"/>
      <c r="E17" s="81"/>
      <c r="F17" s="81"/>
      <c r="G17" s="81"/>
    </row>
    <row r="18" spans="1:7" ht="27" customHeight="1" x14ac:dyDescent="0.3">
      <c r="A18" s="81"/>
      <c r="B18" s="81"/>
      <c r="C18" s="81"/>
      <c r="D18" s="81"/>
      <c r="E18" s="81"/>
      <c r="F18" s="81"/>
      <c r="G18" s="81"/>
    </row>
    <row r="19" spans="1:7" ht="27" customHeight="1" x14ac:dyDescent="0.3">
      <c r="A19" s="81"/>
      <c r="B19" s="81"/>
      <c r="C19" s="81"/>
      <c r="D19" s="81"/>
      <c r="E19" s="81"/>
      <c r="F19" s="81"/>
      <c r="G19" s="81"/>
    </row>
    <row r="20" spans="1:7" ht="27" customHeight="1" x14ac:dyDescent="0.3">
      <c r="A20" s="81"/>
      <c r="B20" s="81"/>
      <c r="C20" s="81"/>
      <c r="D20" s="81"/>
      <c r="E20" s="81"/>
      <c r="F20" s="81"/>
      <c r="G20" s="81"/>
    </row>
    <row r="21" spans="1:7" ht="27" customHeight="1" x14ac:dyDescent="0.3">
      <c r="A21" s="81"/>
      <c r="B21" s="81"/>
      <c r="C21" s="81"/>
      <c r="D21" s="81"/>
      <c r="E21" s="81"/>
      <c r="F21" s="81"/>
      <c r="G21" s="81"/>
    </row>
    <row r="22" spans="1:7" ht="27" customHeight="1" x14ac:dyDescent="0.3">
      <c r="A22" s="81"/>
      <c r="B22" s="81"/>
      <c r="C22" s="81"/>
      <c r="D22" s="81"/>
      <c r="E22" s="81"/>
      <c r="F22" s="81"/>
      <c r="G22" s="81"/>
    </row>
    <row r="23" spans="1:7" ht="27" customHeight="1" x14ac:dyDescent="0.3">
      <c r="A23" s="81"/>
      <c r="B23" s="81"/>
      <c r="C23" s="81"/>
      <c r="D23" s="81"/>
      <c r="E23" s="81"/>
      <c r="F23" s="81"/>
      <c r="G23" s="81"/>
    </row>
    <row r="24" spans="1:7" ht="27" customHeight="1" x14ac:dyDescent="0.3">
      <c r="A24" s="81"/>
      <c r="B24" s="81"/>
      <c r="C24" s="81"/>
      <c r="D24" s="81"/>
      <c r="E24" s="81"/>
      <c r="F24" s="81"/>
      <c r="G24" s="81"/>
    </row>
    <row r="25" spans="1:7" ht="27" customHeight="1" x14ac:dyDescent="0.3">
      <c r="A25" s="81"/>
      <c r="B25" s="81"/>
      <c r="C25" s="81"/>
      <c r="D25" s="81"/>
      <c r="E25" s="81"/>
      <c r="F25" s="81"/>
      <c r="G25" s="81"/>
    </row>
    <row r="26" spans="1:7" ht="27" customHeight="1" x14ac:dyDescent="0.3">
      <c r="A26" s="81"/>
      <c r="B26" s="81"/>
      <c r="C26" s="81"/>
      <c r="D26" s="81"/>
      <c r="E26" s="81"/>
      <c r="F26" s="81"/>
      <c r="G26" s="81"/>
    </row>
    <row r="27" spans="1:7" ht="27" customHeight="1" x14ac:dyDescent="0.3">
      <c r="A27" s="81"/>
      <c r="B27" s="81"/>
      <c r="C27" s="81"/>
      <c r="D27" s="81"/>
      <c r="E27" s="81"/>
      <c r="F27" s="81"/>
      <c r="G27" s="81"/>
    </row>
    <row r="28" spans="1:7" ht="27" customHeight="1" x14ac:dyDescent="0.3">
      <c r="A28" s="81"/>
      <c r="B28" s="81"/>
      <c r="C28" s="81"/>
      <c r="D28" s="81"/>
      <c r="E28" s="81"/>
      <c r="F28" s="81"/>
      <c r="G28" s="81"/>
    </row>
  </sheetData>
  <mergeCells count="2">
    <mergeCell ref="A1:G1"/>
    <mergeCell ref="A2:G2"/>
  </mergeCells>
  <pageMargins left="0.78740157480314965" right="0.19685039370078741" top="0.39370078740157483" bottom="0.39370078740157483" header="0.51181102362204722" footer="0.51181102362204722"/>
  <pageSetup paperSize="9" scale="98" fitToHeight="0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1"/>
  <dimension ref="A1:F9"/>
  <sheetViews>
    <sheetView showGridLines="0" zoomScale="190" zoomScaleNormal="190" zoomScaleSheetLayoutView="140" workbookViewId="0">
      <selection activeCell="F20" sqref="F20"/>
    </sheetView>
  </sheetViews>
  <sheetFormatPr defaultRowHeight="12.5" x14ac:dyDescent="0.25"/>
  <cols>
    <col min="1" max="5" width="9.7265625" style="16" customWidth="1"/>
    <col min="6" max="6" width="5.26953125" style="16" customWidth="1"/>
    <col min="7" max="256" width="8.7265625" style="16"/>
    <col min="257" max="261" width="9.7265625" style="16" customWidth="1"/>
    <col min="262" max="262" width="5.26953125" style="16" customWidth="1"/>
    <col min="263" max="512" width="8.7265625" style="16"/>
    <col min="513" max="517" width="9.7265625" style="16" customWidth="1"/>
    <col min="518" max="518" width="5.26953125" style="16" customWidth="1"/>
    <col min="519" max="768" width="8.7265625" style="16"/>
    <col min="769" max="773" width="9.7265625" style="16" customWidth="1"/>
    <col min="774" max="774" width="5.26953125" style="16" customWidth="1"/>
    <col min="775" max="1024" width="8.7265625" style="16"/>
    <col min="1025" max="1029" width="9.7265625" style="16" customWidth="1"/>
    <col min="1030" max="1030" width="5.26953125" style="16" customWidth="1"/>
    <col min="1031" max="1280" width="8.7265625" style="16"/>
    <col min="1281" max="1285" width="9.7265625" style="16" customWidth="1"/>
    <col min="1286" max="1286" width="5.26953125" style="16" customWidth="1"/>
    <col min="1287" max="1536" width="8.7265625" style="16"/>
    <col min="1537" max="1541" width="9.7265625" style="16" customWidth="1"/>
    <col min="1542" max="1542" width="5.26953125" style="16" customWidth="1"/>
    <col min="1543" max="1792" width="8.7265625" style="16"/>
    <col min="1793" max="1797" width="9.7265625" style="16" customWidth="1"/>
    <col min="1798" max="1798" width="5.26953125" style="16" customWidth="1"/>
    <col min="1799" max="2048" width="8.7265625" style="16"/>
    <col min="2049" max="2053" width="9.7265625" style="16" customWidth="1"/>
    <col min="2054" max="2054" width="5.26953125" style="16" customWidth="1"/>
    <col min="2055" max="2304" width="8.7265625" style="16"/>
    <col min="2305" max="2309" width="9.7265625" style="16" customWidth="1"/>
    <col min="2310" max="2310" width="5.26953125" style="16" customWidth="1"/>
    <col min="2311" max="2560" width="8.7265625" style="16"/>
    <col min="2561" max="2565" width="9.7265625" style="16" customWidth="1"/>
    <col min="2566" max="2566" width="5.26953125" style="16" customWidth="1"/>
    <col min="2567" max="2816" width="8.7265625" style="16"/>
    <col min="2817" max="2821" width="9.7265625" style="16" customWidth="1"/>
    <col min="2822" max="2822" width="5.26953125" style="16" customWidth="1"/>
    <col min="2823" max="3072" width="8.7265625" style="16"/>
    <col min="3073" max="3077" width="9.7265625" style="16" customWidth="1"/>
    <col min="3078" max="3078" width="5.26953125" style="16" customWidth="1"/>
    <col min="3079" max="3328" width="8.7265625" style="16"/>
    <col min="3329" max="3333" width="9.7265625" style="16" customWidth="1"/>
    <col min="3334" max="3334" width="5.26953125" style="16" customWidth="1"/>
    <col min="3335" max="3584" width="8.7265625" style="16"/>
    <col min="3585" max="3589" width="9.7265625" style="16" customWidth="1"/>
    <col min="3590" max="3590" width="5.26953125" style="16" customWidth="1"/>
    <col min="3591" max="3840" width="8.7265625" style="16"/>
    <col min="3841" max="3845" width="9.7265625" style="16" customWidth="1"/>
    <col min="3846" max="3846" width="5.26953125" style="16" customWidth="1"/>
    <col min="3847" max="4096" width="8.7265625" style="16"/>
    <col min="4097" max="4101" width="9.7265625" style="16" customWidth="1"/>
    <col min="4102" max="4102" width="5.26953125" style="16" customWidth="1"/>
    <col min="4103" max="4352" width="8.7265625" style="16"/>
    <col min="4353" max="4357" width="9.7265625" style="16" customWidth="1"/>
    <col min="4358" max="4358" width="5.26953125" style="16" customWidth="1"/>
    <col min="4359" max="4608" width="8.7265625" style="16"/>
    <col min="4609" max="4613" width="9.7265625" style="16" customWidth="1"/>
    <col min="4614" max="4614" width="5.26953125" style="16" customWidth="1"/>
    <col min="4615" max="4864" width="8.7265625" style="16"/>
    <col min="4865" max="4869" width="9.7265625" style="16" customWidth="1"/>
    <col min="4870" max="4870" width="5.26953125" style="16" customWidth="1"/>
    <col min="4871" max="5120" width="8.7265625" style="16"/>
    <col min="5121" max="5125" width="9.7265625" style="16" customWidth="1"/>
    <col min="5126" max="5126" width="5.26953125" style="16" customWidth="1"/>
    <col min="5127" max="5376" width="8.7265625" style="16"/>
    <col min="5377" max="5381" width="9.7265625" style="16" customWidth="1"/>
    <col min="5382" max="5382" width="5.26953125" style="16" customWidth="1"/>
    <col min="5383" max="5632" width="8.7265625" style="16"/>
    <col min="5633" max="5637" width="9.7265625" style="16" customWidth="1"/>
    <col min="5638" max="5638" width="5.26953125" style="16" customWidth="1"/>
    <col min="5639" max="5888" width="8.7265625" style="16"/>
    <col min="5889" max="5893" width="9.7265625" style="16" customWidth="1"/>
    <col min="5894" max="5894" width="5.26953125" style="16" customWidth="1"/>
    <col min="5895" max="6144" width="8.7265625" style="16"/>
    <col min="6145" max="6149" width="9.7265625" style="16" customWidth="1"/>
    <col min="6150" max="6150" width="5.26953125" style="16" customWidth="1"/>
    <col min="6151" max="6400" width="8.7265625" style="16"/>
    <col min="6401" max="6405" width="9.7265625" style="16" customWidth="1"/>
    <col min="6406" max="6406" width="5.26953125" style="16" customWidth="1"/>
    <col min="6407" max="6656" width="8.7265625" style="16"/>
    <col min="6657" max="6661" width="9.7265625" style="16" customWidth="1"/>
    <col min="6662" max="6662" width="5.26953125" style="16" customWidth="1"/>
    <col min="6663" max="6912" width="8.7265625" style="16"/>
    <col min="6913" max="6917" width="9.7265625" style="16" customWidth="1"/>
    <col min="6918" max="6918" width="5.26953125" style="16" customWidth="1"/>
    <col min="6919" max="7168" width="8.7265625" style="16"/>
    <col min="7169" max="7173" width="9.7265625" style="16" customWidth="1"/>
    <col min="7174" max="7174" width="5.26953125" style="16" customWidth="1"/>
    <col min="7175" max="7424" width="8.7265625" style="16"/>
    <col min="7425" max="7429" width="9.7265625" style="16" customWidth="1"/>
    <col min="7430" max="7430" width="5.26953125" style="16" customWidth="1"/>
    <col min="7431" max="7680" width="8.7265625" style="16"/>
    <col min="7681" max="7685" width="9.7265625" style="16" customWidth="1"/>
    <col min="7686" max="7686" width="5.26953125" style="16" customWidth="1"/>
    <col min="7687" max="7936" width="8.7265625" style="16"/>
    <col min="7937" max="7941" width="9.7265625" style="16" customWidth="1"/>
    <col min="7942" max="7942" width="5.26953125" style="16" customWidth="1"/>
    <col min="7943" max="8192" width="8.7265625" style="16"/>
    <col min="8193" max="8197" width="9.7265625" style="16" customWidth="1"/>
    <col min="8198" max="8198" width="5.26953125" style="16" customWidth="1"/>
    <col min="8199" max="8448" width="8.7265625" style="16"/>
    <col min="8449" max="8453" width="9.7265625" style="16" customWidth="1"/>
    <col min="8454" max="8454" width="5.26953125" style="16" customWidth="1"/>
    <col min="8455" max="8704" width="8.7265625" style="16"/>
    <col min="8705" max="8709" width="9.7265625" style="16" customWidth="1"/>
    <col min="8710" max="8710" width="5.26953125" style="16" customWidth="1"/>
    <col min="8711" max="8960" width="8.7265625" style="16"/>
    <col min="8961" max="8965" width="9.7265625" style="16" customWidth="1"/>
    <col min="8966" max="8966" width="5.26953125" style="16" customWidth="1"/>
    <col min="8967" max="9216" width="8.7265625" style="16"/>
    <col min="9217" max="9221" width="9.7265625" style="16" customWidth="1"/>
    <col min="9222" max="9222" width="5.26953125" style="16" customWidth="1"/>
    <col min="9223" max="9472" width="8.7265625" style="16"/>
    <col min="9473" max="9477" width="9.7265625" style="16" customWidth="1"/>
    <col min="9478" max="9478" width="5.26953125" style="16" customWidth="1"/>
    <col min="9479" max="9728" width="8.7265625" style="16"/>
    <col min="9729" max="9733" width="9.7265625" style="16" customWidth="1"/>
    <col min="9734" max="9734" width="5.26953125" style="16" customWidth="1"/>
    <col min="9735" max="9984" width="8.7265625" style="16"/>
    <col min="9985" max="9989" width="9.7265625" style="16" customWidth="1"/>
    <col min="9990" max="9990" width="5.26953125" style="16" customWidth="1"/>
    <col min="9991" max="10240" width="8.7265625" style="16"/>
    <col min="10241" max="10245" width="9.7265625" style="16" customWidth="1"/>
    <col min="10246" max="10246" width="5.26953125" style="16" customWidth="1"/>
    <col min="10247" max="10496" width="8.7265625" style="16"/>
    <col min="10497" max="10501" width="9.7265625" style="16" customWidth="1"/>
    <col min="10502" max="10502" width="5.26953125" style="16" customWidth="1"/>
    <col min="10503" max="10752" width="8.7265625" style="16"/>
    <col min="10753" max="10757" width="9.7265625" style="16" customWidth="1"/>
    <col min="10758" max="10758" width="5.26953125" style="16" customWidth="1"/>
    <col min="10759" max="11008" width="8.7265625" style="16"/>
    <col min="11009" max="11013" width="9.7265625" style="16" customWidth="1"/>
    <col min="11014" max="11014" width="5.26953125" style="16" customWidth="1"/>
    <col min="11015" max="11264" width="8.7265625" style="16"/>
    <col min="11265" max="11269" width="9.7265625" style="16" customWidth="1"/>
    <col min="11270" max="11270" width="5.26953125" style="16" customWidth="1"/>
    <col min="11271" max="11520" width="8.7265625" style="16"/>
    <col min="11521" max="11525" width="9.7265625" style="16" customWidth="1"/>
    <col min="11526" max="11526" width="5.26953125" style="16" customWidth="1"/>
    <col min="11527" max="11776" width="8.7265625" style="16"/>
    <col min="11777" max="11781" width="9.7265625" style="16" customWidth="1"/>
    <col min="11782" max="11782" width="5.26953125" style="16" customWidth="1"/>
    <col min="11783" max="12032" width="8.7265625" style="16"/>
    <col min="12033" max="12037" width="9.7265625" style="16" customWidth="1"/>
    <col min="12038" max="12038" width="5.26953125" style="16" customWidth="1"/>
    <col min="12039" max="12288" width="8.7265625" style="16"/>
    <col min="12289" max="12293" width="9.7265625" style="16" customWidth="1"/>
    <col min="12294" max="12294" width="5.26953125" style="16" customWidth="1"/>
    <col min="12295" max="12544" width="8.7265625" style="16"/>
    <col min="12545" max="12549" width="9.7265625" style="16" customWidth="1"/>
    <col min="12550" max="12550" width="5.26953125" style="16" customWidth="1"/>
    <col min="12551" max="12800" width="8.7265625" style="16"/>
    <col min="12801" max="12805" width="9.7265625" style="16" customWidth="1"/>
    <col min="12806" max="12806" width="5.26953125" style="16" customWidth="1"/>
    <col min="12807" max="13056" width="8.7265625" style="16"/>
    <col min="13057" max="13061" width="9.7265625" style="16" customWidth="1"/>
    <col min="13062" max="13062" width="5.26953125" style="16" customWidth="1"/>
    <col min="13063" max="13312" width="8.7265625" style="16"/>
    <col min="13313" max="13317" width="9.7265625" style="16" customWidth="1"/>
    <col min="13318" max="13318" width="5.26953125" style="16" customWidth="1"/>
    <col min="13319" max="13568" width="8.7265625" style="16"/>
    <col min="13569" max="13573" width="9.7265625" style="16" customWidth="1"/>
    <col min="13574" max="13574" width="5.26953125" style="16" customWidth="1"/>
    <col min="13575" max="13824" width="8.7265625" style="16"/>
    <col min="13825" max="13829" width="9.7265625" style="16" customWidth="1"/>
    <col min="13830" max="13830" width="5.26953125" style="16" customWidth="1"/>
    <col min="13831" max="14080" width="8.7265625" style="16"/>
    <col min="14081" max="14085" width="9.7265625" style="16" customWidth="1"/>
    <col min="14086" max="14086" width="5.26953125" style="16" customWidth="1"/>
    <col min="14087" max="14336" width="8.7265625" style="16"/>
    <col min="14337" max="14341" width="9.7265625" style="16" customWidth="1"/>
    <col min="14342" max="14342" width="5.26953125" style="16" customWidth="1"/>
    <col min="14343" max="14592" width="8.7265625" style="16"/>
    <col min="14593" max="14597" width="9.7265625" style="16" customWidth="1"/>
    <col min="14598" max="14598" width="5.26953125" style="16" customWidth="1"/>
    <col min="14599" max="14848" width="8.7265625" style="16"/>
    <col min="14849" max="14853" width="9.7265625" style="16" customWidth="1"/>
    <col min="14854" max="14854" width="5.26953125" style="16" customWidth="1"/>
    <col min="14855" max="15104" width="8.7265625" style="16"/>
    <col min="15105" max="15109" width="9.7265625" style="16" customWidth="1"/>
    <col min="15110" max="15110" width="5.26953125" style="16" customWidth="1"/>
    <col min="15111" max="15360" width="8.7265625" style="16"/>
    <col min="15361" max="15365" width="9.7265625" style="16" customWidth="1"/>
    <col min="15366" max="15366" width="5.26953125" style="16" customWidth="1"/>
    <col min="15367" max="15616" width="8.7265625" style="16"/>
    <col min="15617" max="15621" width="9.7265625" style="16" customWidth="1"/>
    <col min="15622" max="15622" width="5.26953125" style="16" customWidth="1"/>
    <col min="15623" max="15872" width="8.7265625" style="16"/>
    <col min="15873" max="15877" width="9.7265625" style="16" customWidth="1"/>
    <col min="15878" max="15878" width="5.26953125" style="16" customWidth="1"/>
    <col min="15879" max="16128" width="8.7265625" style="16"/>
    <col min="16129" max="16133" width="9.7265625" style="16" customWidth="1"/>
    <col min="16134" max="16134" width="5.26953125" style="16" customWidth="1"/>
    <col min="16135" max="16384" width="8.7265625" style="16"/>
  </cols>
  <sheetData>
    <row r="1" spans="1:6" x14ac:dyDescent="0.25">
      <c r="A1" s="53" t="s">
        <v>161</v>
      </c>
      <c r="B1" s="54"/>
      <c r="C1" s="54"/>
      <c r="D1" s="54"/>
      <c r="E1" s="54"/>
      <c r="F1" s="63"/>
    </row>
    <row r="2" spans="1:6" x14ac:dyDescent="0.25">
      <c r="A2" s="180"/>
      <c r="B2" s="181"/>
      <c r="C2" s="181"/>
      <c r="F2" s="56"/>
    </row>
    <row r="3" spans="1:6" x14ac:dyDescent="0.25">
      <c r="A3" s="55" t="s">
        <v>162</v>
      </c>
      <c r="F3" s="56"/>
    </row>
    <row r="4" spans="1:6" x14ac:dyDescent="0.25">
      <c r="A4" s="180"/>
      <c r="B4" s="181"/>
      <c r="C4" s="181"/>
      <c r="D4" s="181"/>
      <c r="E4" s="181"/>
      <c r="F4" s="182"/>
    </row>
    <row r="5" spans="1:6" ht="14.5" x14ac:dyDescent="0.25">
      <c r="A5" s="183" t="s">
        <v>163</v>
      </c>
      <c r="B5" s="184"/>
      <c r="C5" s="184"/>
      <c r="D5" s="184"/>
      <c r="E5" s="184"/>
      <c r="F5" s="185"/>
    </row>
    <row r="6" spans="1:6" x14ac:dyDescent="0.25">
      <c r="A6" s="180"/>
      <c r="B6" s="181"/>
      <c r="C6" s="181"/>
      <c r="D6" s="181"/>
      <c r="E6" s="181"/>
      <c r="F6" s="182"/>
    </row>
    <row r="7" spans="1:6" ht="15" thickBot="1" x14ac:dyDescent="0.3">
      <c r="A7" s="186" t="s">
        <v>164</v>
      </c>
      <c r="B7" s="187"/>
      <c r="C7" s="187"/>
      <c r="D7" s="187"/>
      <c r="E7" s="187"/>
      <c r="F7" s="188"/>
    </row>
    <row r="9" spans="1:6" x14ac:dyDescent="0.25">
      <c r="B9" s="52"/>
    </row>
  </sheetData>
  <mergeCells count="5">
    <mergeCell ref="A2:C2"/>
    <mergeCell ref="A4:F4"/>
    <mergeCell ref="A5:F5"/>
    <mergeCell ref="A6:F6"/>
    <mergeCell ref="A7:F7"/>
  </mergeCells>
  <pageMargins left="0.78740157480314965" right="0.19685039370078741" top="0.39370078740157483" bottom="0.39370078740157483" header="0.51181102362204722" footer="0.51181102362204722"/>
  <pageSetup paperSize="9"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3"/>
  <dimension ref="A3:E7"/>
  <sheetViews>
    <sheetView workbookViewId="0">
      <selection activeCell="E3" sqref="E3:E10"/>
    </sheetView>
  </sheetViews>
  <sheetFormatPr defaultRowHeight="14.5" x14ac:dyDescent="0.35"/>
  <cols>
    <col min="2" max="2" width="55.54296875" customWidth="1"/>
    <col min="5" max="5" width="34.90625" bestFit="1" customWidth="1"/>
  </cols>
  <sheetData>
    <row r="3" spans="1:5" x14ac:dyDescent="0.35">
      <c r="A3" t="s">
        <v>11</v>
      </c>
      <c r="B3" t="s">
        <v>12</v>
      </c>
      <c r="E3" t="s">
        <v>15</v>
      </c>
    </row>
    <row r="4" spans="1:5" x14ac:dyDescent="0.35">
      <c r="A4" t="s">
        <v>13</v>
      </c>
      <c r="B4" t="str">
        <f ca="1">LEFT(CELL("filename",A3),FIND("[",CELL("filename",A3))-1)</f>
        <v>D:\SynologyDrive\Документы в облаке\Автогенератор\Репозиторий\25.12.16\</v>
      </c>
      <c r="E4" t="s">
        <v>16</v>
      </c>
    </row>
    <row r="5" spans="1:5" x14ac:dyDescent="0.35">
      <c r="E5" t="s">
        <v>181</v>
      </c>
    </row>
    <row r="6" spans="1:5" x14ac:dyDescent="0.35">
      <c r="E6" t="s">
        <v>182</v>
      </c>
    </row>
    <row r="7" spans="1:5" x14ac:dyDescent="0.35">
      <c r="E7" t="s">
        <v>183</v>
      </c>
    </row>
  </sheetData>
  <pageMargins left="0.7" right="0.7" top="0.75" bottom="0.75" header="0.3" footer="0.3"/>
  <tableParts count="2">
    <tablePart r:id="rId1"/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62CC99B-37FA-415F-BD90-C7E7436BD4E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12</vt:i4>
      </vt:variant>
      <vt:variant>
        <vt:lpstr>Именованные диапазоны</vt:lpstr>
      </vt:variant>
      <vt:variant>
        <vt:i4>21</vt:i4>
      </vt:variant>
    </vt:vector>
  </HeadingPairs>
  <TitlesOfParts>
    <vt:vector size="33" baseType="lpstr">
      <vt:lpstr>Настройки</vt:lpstr>
      <vt:lpstr>Обложка</vt:lpstr>
      <vt:lpstr>Титульный лист</vt:lpstr>
      <vt:lpstr>Раздел 1</vt:lpstr>
      <vt:lpstr>Раздел 2</vt:lpstr>
      <vt:lpstr>Раздел 3</vt:lpstr>
      <vt:lpstr>Раздел 3 разбивка</vt:lpstr>
      <vt:lpstr>Раздел 4</vt:lpstr>
      <vt:lpstr>Раздел 5</vt:lpstr>
      <vt:lpstr>Раздел 6</vt:lpstr>
      <vt:lpstr>ярлык</vt:lpstr>
      <vt:lpstr>Параметры</vt:lpstr>
      <vt:lpstr>'Раздел 1'!Заголовки_для_печати</vt:lpstr>
      <vt:lpstr>'Раздел 2'!Заголовки_для_печати</vt:lpstr>
      <vt:lpstr>'Раздел 3'!Заголовки_для_печати</vt:lpstr>
      <vt:lpstr>'Раздел 3 разбивка'!Заголовки_для_печати</vt:lpstr>
      <vt:lpstr>'Раздел 4'!Заголовки_для_печати</vt:lpstr>
      <vt:lpstr>'Раздел 5'!Заголовки_для_печати</vt:lpstr>
      <vt:lpstr>'Раздел 6'!Заголовки_для_печати</vt:lpstr>
      <vt:lpstr>НАСТР_показ_мат</vt:lpstr>
      <vt:lpstr>НАСТР_разд3_разд_мат</vt:lpstr>
      <vt:lpstr>НАСТР_разд3_разд_работ</vt:lpstr>
      <vt:lpstr>НАСТР_разд6_разд_дата_подп</vt:lpstr>
      <vt:lpstr>НАСТР_разд6_разд_назв_ном</vt:lpstr>
      <vt:lpstr>НАСТР_разд6_разд_ном_раб</vt:lpstr>
      <vt:lpstr>НАСТР_разд6_разд_подп_подп</vt:lpstr>
      <vt:lpstr>Обложка!Область_печати</vt:lpstr>
      <vt:lpstr>'Раздел 1'!Область_печати</vt:lpstr>
      <vt:lpstr>'Раздел 4'!Область_печати</vt:lpstr>
      <vt:lpstr>'Раздел 6'!Область_печати</vt:lpstr>
      <vt:lpstr>'Титульный лист'!Область_печати</vt:lpstr>
      <vt:lpstr>ярлык!Область_печати</vt:lpstr>
      <vt:lpstr>откуда_брать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Volobuev</dc:creator>
  <cp:lastModifiedBy>Дмитрий Волобуев</cp:lastModifiedBy>
  <cp:lastPrinted>2025-02-19T15:04:35Z</cp:lastPrinted>
  <dcterms:created xsi:type="dcterms:W3CDTF">2015-06-05T18:19:34Z</dcterms:created>
  <dcterms:modified xsi:type="dcterms:W3CDTF">2025-12-24T07:29:01Z</dcterms:modified>
</cp:coreProperties>
</file>